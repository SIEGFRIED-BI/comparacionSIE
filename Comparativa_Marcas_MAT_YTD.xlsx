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0 &quot;pp&quot;;-0.00 &quot;pp&quot;;0.00 &quot;pp&quot;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  <font>
      <b val="1"/>
      <color rgb="00FFFFFF"/>
      <sz val="12"/>
    </font>
    <font>
      <i val="1"/>
      <color rgb="00666666"/>
      <sz val="9"/>
    </font>
    <font>
      <b val="1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5911"/>
        <bgColor rgb="00C65911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6" fillId="7" borderId="1" pivotButton="0" quotePrefix="0" xfId="0"/>
    <xf numFmtId="3" fontId="6" fillId="7" borderId="1" pivotButton="0" quotePrefix="0" xfId="0"/>
    <xf numFmtId="164" fontId="6" fillId="7" borderId="1" pivotButton="0" quotePrefix="0" xfId="0"/>
    <xf numFmtId="165" fontId="6" fillId="7" borderId="1" pivotButton="0" quotePrefix="0" xfId="0"/>
    <xf numFmtId="166" fontId="6" fillId="7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0" customWidth="1" min="2" max="2"/>
    <col width="11" customWidth="1" min="3" max="3"/>
    <col width="11" customWidth="1" min="4" max="4"/>
    <col width="12" customWidth="1" min="5" max="5"/>
    <col width="12" customWidth="1" min="6" max="6"/>
    <col width="9" customWidth="1" min="7" max="7"/>
    <col width="9" customWidth="1" min="8" max="8"/>
    <col width="8" customWidth="1" min="9" max="9"/>
    <col width="12" customWidth="1" min="10" max="10"/>
    <col width="11" customWidth="1" min="11" max="11"/>
    <col width="11" customWidth="1" min="12" max="12"/>
    <col width="12" customWidth="1" min="13" max="13"/>
    <col width="12" customWidth="1" min="14" max="14"/>
    <col width="9" customWidth="1" min="15" max="15"/>
    <col width="9" customWidth="1" min="16" max="16"/>
    <col width="8" customWidth="1" min="17" max="17"/>
    <col width="12" customWidth="1" min="18" max="18"/>
    <col width="11" customWidth="1" min="19" max="19"/>
    <col width="11" customWidth="1" min="20" max="20"/>
    <col width="12" customWidth="1" min="21" max="21"/>
    <col width="12" customWidth="1" min="22" max="22"/>
    <col width="9" customWidth="1" min="23" max="23"/>
    <col width="9" customWidth="1" min="24" max="24"/>
    <col width="8" customWidth="1" min="25" max="25"/>
    <col width="12" customWidth="1" min="26" max="26"/>
  </cols>
  <sheetData>
    <row r="1">
      <c r="A1" s="1" t="inlineStr">
        <is>
          <t>Comparativa Marca vs Mercado (misma molécula, no-SIE)</t>
        </is>
      </c>
    </row>
    <row r="2">
      <c r="A2" s="2" t="inlineStr">
        <is>
          <t>Segmento:</t>
        </is>
      </c>
      <c r="B2" s="3" t="inlineStr">
        <is>
          <t>TOTAL</t>
        </is>
      </c>
      <c r="D2" s="4" t="inlineStr">
        <is>
          <t>(B2: TOTAL = Ético+Popular | ETICO sólo | POPULAR sólo)</t>
        </is>
      </c>
    </row>
    <row r="3">
      <c r="C3" s="5" t="inlineStr">
        <is>
          <t>BLOQUE MAT (Apr 2026 vs Apr 2025)</t>
        </is>
      </c>
      <c r="K3" s="6" t="inlineStr">
        <is>
          <t>BLOQUE YTD (Ene-Abr 2026 vs 2025)</t>
        </is>
      </c>
      <c r="S3" s="7" t="inlineStr">
        <is>
          <t>BLOQUE MES (Abr 2026 vs Abr 2025)</t>
        </is>
      </c>
    </row>
    <row r="4">
      <c r="A4" s="8" t="inlineStr">
        <is>
          <t>Marca</t>
        </is>
      </c>
      <c r="B4" s="8" t="inlineStr">
        <is>
          <t>Moleculas</t>
        </is>
      </c>
      <c r="C4" s="8" t="inlineStr">
        <is>
          <t>U Marca MAT Ant</t>
        </is>
      </c>
      <c r="D4" s="8" t="inlineStr">
        <is>
          <t>U Marca MAT Act</t>
        </is>
      </c>
      <c r="E4" s="8" t="inlineStr">
        <is>
          <t>U Mercado MAT Ant</t>
        </is>
      </c>
      <c r="F4" s="8" t="inlineStr">
        <is>
          <t>U Mercado MAT Act</t>
        </is>
      </c>
      <c r="G4" s="8" t="inlineStr">
        <is>
          <t>MS% MAT Ant</t>
        </is>
      </c>
      <c r="H4" s="8" t="inlineStr">
        <is>
          <t>MS% MAT Act</t>
        </is>
      </c>
      <c r="I4" s="8" t="inlineStr">
        <is>
          <t>IE MAT</t>
        </is>
      </c>
      <c r="J4" s="8" t="inlineStr">
        <is>
          <t>Var pp MAT</t>
        </is>
      </c>
      <c r="K4" s="8" t="inlineStr">
        <is>
          <t>U Marca YTD Ant</t>
        </is>
      </c>
      <c r="L4" s="8" t="inlineStr">
        <is>
          <t>U Marca YTD Act</t>
        </is>
      </c>
      <c r="M4" s="8" t="inlineStr">
        <is>
          <t>U Mercado YTD Ant</t>
        </is>
      </c>
      <c r="N4" s="8" t="inlineStr">
        <is>
          <t>U Mercado YTD Act</t>
        </is>
      </c>
      <c r="O4" s="8" t="inlineStr">
        <is>
          <t>MS% YTD Ant</t>
        </is>
      </c>
      <c r="P4" s="8" t="inlineStr">
        <is>
          <t>MS% YTD Act</t>
        </is>
      </c>
      <c r="Q4" s="8" t="inlineStr">
        <is>
          <t>IE YTD</t>
        </is>
      </c>
      <c r="R4" s="8" t="inlineStr">
        <is>
          <t>Var pp YTD</t>
        </is>
      </c>
      <c r="S4" s="8" t="inlineStr">
        <is>
          <t>U Marca MES Ant</t>
        </is>
      </c>
      <c r="T4" s="8" t="inlineStr">
        <is>
          <t>U Marca MES Act</t>
        </is>
      </c>
      <c r="U4" s="8" t="inlineStr">
        <is>
          <t>U Mercado MES Ant</t>
        </is>
      </c>
      <c r="V4" s="8" t="inlineStr">
        <is>
          <t>U Mercado MES Act</t>
        </is>
      </c>
      <c r="W4" s="8" t="inlineStr">
        <is>
          <t>MS% MES Ant</t>
        </is>
      </c>
      <c r="X4" s="8" t="inlineStr">
        <is>
          <t>MS% MES Act</t>
        </is>
      </c>
      <c r="Y4" s="8" t="inlineStr">
        <is>
          <t>IE MES</t>
        </is>
      </c>
      <c r="Z4" s="8" t="inlineStr">
        <is>
          <t>Var pp MES</t>
        </is>
      </c>
    </row>
    <row r="5">
      <c r="A5" s="9" t="inlineStr">
        <is>
          <t>ACEMUK</t>
        </is>
      </c>
      <c r="B5" s="10" t="inlineStr">
        <is>
          <t>ACETYLCYSTEINE | ACETYLCYSTEINE_AMOXICILLIN | ACETYLCYSTEINE_CHLORPHENAMINE_PARACETAMOL_PSEUDOEPHEDRINE | ACETYLCYSTEINE_LIDOCAINE_TYROTHRICIN | ACETYLCYSTEINE_PARACETAMOL</t>
        </is>
      </c>
      <c r="C5" s="11">
        <f>SUMIFS(Datos!$D$2:$D$148,Datos!$A$2:$A$148,$A5,Datos!$B$2:$B$148,$B$2)</f>
        <v/>
      </c>
      <c r="D5" s="11">
        <f>SUMIFS(Datos!$E$2:$E$148,Datos!$A$2:$A$148,$A5,Datos!$B$2:$B$148,$B$2)</f>
        <v/>
      </c>
      <c r="E5" s="11">
        <f>SUMIFS(Datos!$F$2:$F$148,Datos!$A$2:$A$148,$A5,Datos!$B$2:$B$148,$B$2)</f>
        <v/>
      </c>
      <c r="F5" s="11">
        <f>SUMIFS(Datos!$G$2:$G$148,Datos!$A$2:$A$148,$A5,Datos!$B$2:$B$148,$B$2)</f>
        <v/>
      </c>
      <c r="G5" s="12">
        <f>IFERROR(C5/(C5+E5),0)</f>
        <v/>
      </c>
      <c r="H5" s="12">
        <f>IFERROR(D5/(D5+F5),0)</f>
        <v/>
      </c>
      <c r="I5" s="13">
        <f>IFERROR((D5/C5)/((D5+F5)/(C5+E5))*100,0)</f>
        <v/>
      </c>
      <c r="J5" s="14">
        <f>(H5-G5)*100</f>
        <v/>
      </c>
      <c r="K5" s="11">
        <f>SUMIFS(Datos!$H$2:$H$148,Datos!$A$2:$A$148,$A5,Datos!$B$2:$B$148,$B$2)</f>
        <v/>
      </c>
      <c r="L5" s="11">
        <f>SUMIFS(Datos!$I$2:$I$148,Datos!$A$2:$A$148,$A5,Datos!$B$2:$B$148,$B$2)</f>
        <v/>
      </c>
      <c r="M5" s="11">
        <f>SUMIFS(Datos!$J$2:$J$148,Datos!$A$2:$A$148,$A5,Datos!$B$2:$B$148,$B$2)</f>
        <v/>
      </c>
      <c r="N5" s="11">
        <f>SUMIFS(Datos!$K$2:$K$148,Datos!$A$2:$A$148,$A5,Datos!$B$2:$B$148,$B$2)</f>
        <v/>
      </c>
      <c r="O5" s="12">
        <f>IFERROR(K5/(K5+M5),0)</f>
        <v/>
      </c>
      <c r="P5" s="12">
        <f>IFERROR(L5/(L5+N5),0)</f>
        <v/>
      </c>
      <c r="Q5" s="13">
        <f>IFERROR((L5/K5)/((L5+N5)/(K5+M5))*100,0)</f>
        <v/>
      </c>
      <c r="R5" s="14">
        <f>(P5-O5)*100</f>
        <v/>
      </c>
      <c r="S5" s="11">
        <f>SUMIFS(Datos!$L$2:$L$148,Datos!$A$2:$A$148,$A5,Datos!$B$2:$B$148,$B$2)</f>
        <v/>
      </c>
      <c r="T5" s="11">
        <f>SUMIFS(Datos!$M$2:$M$148,Datos!$A$2:$A$148,$A5,Datos!$B$2:$B$148,$B$2)</f>
        <v/>
      </c>
      <c r="U5" s="11">
        <f>SUMIFS(Datos!$N$2:$N$148,Datos!$A$2:$A$148,$A5,Datos!$B$2:$B$148,$B$2)</f>
        <v/>
      </c>
      <c r="V5" s="11">
        <f>SUMIFS(Datos!$O$2:$O$148,Datos!$A$2:$A$148,$A5,Datos!$B$2:$B$148,$B$2)</f>
        <v/>
      </c>
      <c r="W5" s="12">
        <f>IFERROR(S5/(S5+U5),0)</f>
        <v/>
      </c>
      <c r="X5" s="12">
        <f>IFERROR(T5/(T5+V5),0)</f>
        <v/>
      </c>
      <c r="Y5" s="13">
        <f>IFERROR((T5/S5)/((T5+V5)/(S5+U5))*100,0)</f>
        <v/>
      </c>
      <c r="Z5" s="14">
        <f>(X5-W5)*100</f>
        <v/>
      </c>
    </row>
    <row r="6">
      <c r="A6" s="9" t="inlineStr">
        <is>
          <t>AIREAL</t>
        </is>
      </c>
      <c r="B6" s="10" t="inlineStr">
        <is>
          <t>LEVOCETIRIZINE_MONTELUKAST | MONTELUKAST</t>
        </is>
      </c>
      <c r="C6" s="11">
        <f>SUMIFS(Datos!$D$2:$D$148,Datos!$A$2:$A$148,$A6,Datos!$B$2:$B$148,$B$2)</f>
        <v/>
      </c>
      <c r="D6" s="11">
        <f>SUMIFS(Datos!$E$2:$E$148,Datos!$A$2:$A$148,$A6,Datos!$B$2:$B$148,$B$2)</f>
        <v/>
      </c>
      <c r="E6" s="11">
        <f>SUMIFS(Datos!$F$2:$F$148,Datos!$A$2:$A$148,$A6,Datos!$B$2:$B$148,$B$2)</f>
        <v/>
      </c>
      <c r="F6" s="11">
        <f>SUMIFS(Datos!$G$2:$G$148,Datos!$A$2:$A$148,$A6,Datos!$B$2:$B$148,$B$2)</f>
        <v/>
      </c>
      <c r="G6" s="12">
        <f>IFERROR(C6/(C6+E6),0)</f>
        <v/>
      </c>
      <c r="H6" s="12">
        <f>IFERROR(D6/(D6+F6),0)</f>
        <v/>
      </c>
      <c r="I6" s="13">
        <f>IFERROR((D6/C6)/((D6+F6)/(C6+E6))*100,0)</f>
        <v/>
      </c>
      <c r="J6" s="14">
        <f>(H6-G6)*100</f>
        <v/>
      </c>
      <c r="K6" s="11">
        <f>SUMIFS(Datos!$H$2:$H$148,Datos!$A$2:$A$148,$A6,Datos!$B$2:$B$148,$B$2)</f>
        <v/>
      </c>
      <c r="L6" s="11">
        <f>SUMIFS(Datos!$I$2:$I$148,Datos!$A$2:$A$148,$A6,Datos!$B$2:$B$148,$B$2)</f>
        <v/>
      </c>
      <c r="M6" s="11">
        <f>SUMIFS(Datos!$J$2:$J$148,Datos!$A$2:$A$148,$A6,Datos!$B$2:$B$148,$B$2)</f>
        <v/>
      </c>
      <c r="N6" s="11">
        <f>SUMIFS(Datos!$K$2:$K$148,Datos!$A$2:$A$148,$A6,Datos!$B$2:$B$148,$B$2)</f>
        <v/>
      </c>
      <c r="O6" s="12">
        <f>IFERROR(K6/(K6+M6),0)</f>
        <v/>
      </c>
      <c r="P6" s="12">
        <f>IFERROR(L6/(L6+N6),0)</f>
        <v/>
      </c>
      <c r="Q6" s="13">
        <f>IFERROR((L6/K6)/((L6+N6)/(K6+M6))*100,0)</f>
        <v/>
      </c>
      <c r="R6" s="14">
        <f>(P6-O6)*100</f>
        <v/>
      </c>
      <c r="S6" s="11">
        <f>SUMIFS(Datos!$L$2:$L$148,Datos!$A$2:$A$148,$A6,Datos!$B$2:$B$148,$B$2)</f>
        <v/>
      </c>
      <c r="T6" s="11">
        <f>SUMIFS(Datos!$M$2:$M$148,Datos!$A$2:$A$148,$A6,Datos!$B$2:$B$148,$B$2)</f>
        <v/>
      </c>
      <c r="U6" s="11">
        <f>SUMIFS(Datos!$N$2:$N$148,Datos!$A$2:$A$148,$A6,Datos!$B$2:$B$148,$B$2)</f>
        <v/>
      </c>
      <c r="V6" s="11">
        <f>SUMIFS(Datos!$O$2:$O$148,Datos!$A$2:$A$148,$A6,Datos!$B$2:$B$148,$B$2)</f>
        <v/>
      </c>
      <c r="W6" s="12">
        <f>IFERROR(S6/(S6+U6),0)</f>
        <v/>
      </c>
      <c r="X6" s="12">
        <f>IFERROR(T6/(T6+V6),0)</f>
        <v/>
      </c>
      <c r="Y6" s="13">
        <f>IFERROR((T6/S6)/((T6+V6)/(S6+U6))*100,0)</f>
        <v/>
      </c>
      <c r="Z6" s="14">
        <f>(X6-W6)*100</f>
        <v/>
      </c>
    </row>
    <row r="7">
      <c r="A7" s="9" t="inlineStr">
        <is>
          <t>HEXALER CORT</t>
        </is>
      </c>
      <c r="B7" s="10" t="inlineStr">
        <is>
          <t>BETAMETHASONE_DESLORATADINE</t>
        </is>
      </c>
      <c r="C7" s="11">
        <f>SUMIFS(Datos!$D$2:$D$148,Datos!$A$2:$A$148,$A7,Datos!$B$2:$B$148,$B$2)</f>
        <v/>
      </c>
      <c r="D7" s="11">
        <f>SUMIFS(Datos!$E$2:$E$148,Datos!$A$2:$A$148,$A7,Datos!$B$2:$B$148,$B$2)</f>
        <v/>
      </c>
      <c r="E7" s="11">
        <f>SUMIFS(Datos!$F$2:$F$148,Datos!$A$2:$A$148,$A7,Datos!$B$2:$B$148,$B$2)</f>
        <v/>
      </c>
      <c r="F7" s="11">
        <f>SUMIFS(Datos!$G$2:$G$148,Datos!$A$2:$A$148,$A7,Datos!$B$2:$B$148,$B$2)</f>
        <v/>
      </c>
      <c r="G7" s="12">
        <f>IFERROR(C7/(C7+E7),0)</f>
        <v/>
      </c>
      <c r="H7" s="12">
        <f>IFERROR(D7/(D7+F7),0)</f>
        <v/>
      </c>
      <c r="I7" s="13">
        <f>IFERROR((D7/C7)/((D7+F7)/(C7+E7))*100,0)</f>
        <v/>
      </c>
      <c r="J7" s="14">
        <f>(H7-G7)*100</f>
        <v/>
      </c>
      <c r="K7" s="11">
        <f>SUMIFS(Datos!$H$2:$H$148,Datos!$A$2:$A$148,$A7,Datos!$B$2:$B$148,$B$2)</f>
        <v/>
      </c>
      <c r="L7" s="11">
        <f>SUMIFS(Datos!$I$2:$I$148,Datos!$A$2:$A$148,$A7,Datos!$B$2:$B$148,$B$2)</f>
        <v/>
      </c>
      <c r="M7" s="11">
        <f>SUMIFS(Datos!$J$2:$J$148,Datos!$A$2:$A$148,$A7,Datos!$B$2:$B$148,$B$2)</f>
        <v/>
      </c>
      <c r="N7" s="11">
        <f>SUMIFS(Datos!$K$2:$K$148,Datos!$A$2:$A$148,$A7,Datos!$B$2:$B$148,$B$2)</f>
        <v/>
      </c>
      <c r="O7" s="12">
        <f>IFERROR(K7/(K7+M7),0)</f>
        <v/>
      </c>
      <c r="P7" s="12">
        <f>IFERROR(L7/(L7+N7),0)</f>
        <v/>
      </c>
      <c r="Q7" s="13">
        <f>IFERROR((L7/K7)/((L7+N7)/(K7+M7))*100,0)</f>
        <v/>
      </c>
      <c r="R7" s="14">
        <f>(P7-O7)*100</f>
        <v/>
      </c>
      <c r="S7" s="11">
        <f>SUMIFS(Datos!$L$2:$L$148,Datos!$A$2:$A$148,$A7,Datos!$B$2:$B$148,$B$2)</f>
        <v/>
      </c>
      <c r="T7" s="11">
        <f>SUMIFS(Datos!$M$2:$M$148,Datos!$A$2:$A$148,$A7,Datos!$B$2:$B$148,$B$2)</f>
        <v/>
      </c>
      <c r="U7" s="11">
        <f>SUMIFS(Datos!$N$2:$N$148,Datos!$A$2:$A$148,$A7,Datos!$B$2:$B$148,$B$2)</f>
        <v/>
      </c>
      <c r="V7" s="11">
        <f>SUMIFS(Datos!$O$2:$O$148,Datos!$A$2:$A$148,$A7,Datos!$B$2:$B$148,$B$2)</f>
        <v/>
      </c>
      <c r="W7" s="12">
        <f>IFERROR(S7/(S7+U7),0)</f>
        <v/>
      </c>
      <c r="X7" s="12">
        <f>IFERROR(T7/(T7+V7),0)</f>
        <v/>
      </c>
      <c r="Y7" s="13">
        <f>IFERROR((T7/S7)/((T7+V7)/(S7+U7))*100,0)</f>
        <v/>
      </c>
      <c r="Z7" s="14">
        <f>(X7-W7)*100</f>
        <v/>
      </c>
    </row>
    <row r="8">
      <c r="A8" s="9" t="inlineStr">
        <is>
          <t>ALIDIAL</t>
        </is>
      </c>
      <c r="B8" s="10" t="inlineStr">
        <is>
          <t>CETIRIZINE</t>
        </is>
      </c>
      <c r="C8" s="11">
        <f>SUMIFS(Datos!$D$2:$D$148,Datos!$A$2:$A$148,$A8,Datos!$B$2:$B$148,$B$2)</f>
        <v/>
      </c>
      <c r="D8" s="11">
        <f>SUMIFS(Datos!$E$2:$E$148,Datos!$A$2:$A$148,$A8,Datos!$B$2:$B$148,$B$2)</f>
        <v/>
      </c>
      <c r="E8" s="11">
        <f>SUMIFS(Datos!$F$2:$F$148,Datos!$A$2:$A$148,$A8,Datos!$B$2:$B$148,$B$2)</f>
        <v/>
      </c>
      <c r="F8" s="11">
        <f>SUMIFS(Datos!$G$2:$G$148,Datos!$A$2:$A$148,$A8,Datos!$B$2:$B$148,$B$2)</f>
        <v/>
      </c>
      <c r="G8" s="12">
        <f>IFERROR(C8/(C8+E8),0)</f>
        <v/>
      </c>
      <c r="H8" s="12">
        <f>IFERROR(D8/(D8+F8),0)</f>
        <v/>
      </c>
      <c r="I8" s="13">
        <f>IFERROR((D8/C8)/((D8+F8)/(C8+E8))*100,0)</f>
        <v/>
      </c>
      <c r="J8" s="14">
        <f>(H8-G8)*100</f>
        <v/>
      </c>
      <c r="K8" s="11">
        <f>SUMIFS(Datos!$H$2:$H$148,Datos!$A$2:$A$148,$A8,Datos!$B$2:$B$148,$B$2)</f>
        <v/>
      </c>
      <c r="L8" s="11">
        <f>SUMIFS(Datos!$I$2:$I$148,Datos!$A$2:$A$148,$A8,Datos!$B$2:$B$148,$B$2)</f>
        <v/>
      </c>
      <c r="M8" s="11">
        <f>SUMIFS(Datos!$J$2:$J$148,Datos!$A$2:$A$148,$A8,Datos!$B$2:$B$148,$B$2)</f>
        <v/>
      </c>
      <c r="N8" s="11">
        <f>SUMIFS(Datos!$K$2:$K$148,Datos!$A$2:$A$148,$A8,Datos!$B$2:$B$148,$B$2)</f>
        <v/>
      </c>
      <c r="O8" s="12">
        <f>IFERROR(K8/(K8+M8),0)</f>
        <v/>
      </c>
      <c r="P8" s="12">
        <f>IFERROR(L8/(L8+N8),0)</f>
        <v/>
      </c>
      <c r="Q8" s="13">
        <f>IFERROR((L8/K8)/((L8+N8)/(K8+M8))*100,0)</f>
        <v/>
      </c>
      <c r="R8" s="14">
        <f>(P8-O8)*100</f>
        <v/>
      </c>
      <c r="S8" s="11">
        <f>SUMIFS(Datos!$L$2:$L$148,Datos!$A$2:$A$148,$A8,Datos!$B$2:$B$148,$B$2)</f>
        <v/>
      </c>
      <c r="T8" s="11">
        <f>SUMIFS(Datos!$M$2:$M$148,Datos!$A$2:$A$148,$A8,Datos!$B$2:$B$148,$B$2)</f>
        <v/>
      </c>
      <c r="U8" s="11">
        <f>SUMIFS(Datos!$N$2:$N$148,Datos!$A$2:$A$148,$A8,Datos!$B$2:$B$148,$B$2)</f>
        <v/>
      </c>
      <c r="V8" s="11">
        <f>SUMIFS(Datos!$O$2:$O$148,Datos!$A$2:$A$148,$A8,Datos!$B$2:$B$148,$B$2)</f>
        <v/>
      </c>
      <c r="W8" s="12">
        <f>IFERROR(S8/(S8+U8),0)</f>
        <v/>
      </c>
      <c r="X8" s="12">
        <f>IFERROR(T8/(T8+V8),0)</f>
        <v/>
      </c>
      <c r="Y8" s="13">
        <f>IFERROR((T8/S8)/((T8+V8)/(S8+U8))*100,0)</f>
        <v/>
      </c>
      <c r="Z8" s="14">
        <f>(X8-W8)*100</f>
        <v/>
      </c>
    </row>
    <row r="9">
      <c r="A9" s="9" t="inlineStr">
        <is>
          <t>ALIDIAL L</t>
        </is>
      </c>
      <c r="B9" s="10" t="inlineStr">
        <is>
          <t>LEVOCETIRIZINE</t>
        </is>
      </c>
      <c r="C9" s="11">
        <f>SUMIFS(Datos!$D$2:$D$148,Datos!$A$2:$A$148,$A9,Datos!$B$2:$B$148,$B$2)</f>
        <v/>
      </c>
      <c r="D9" s="11">
        <f>SUMIFS(Datos!$E$2:$E$148,Datos!$A$2:$A$148,$A9,Datos!$B$2:$B$148,$B$2)</f>
        <v/>
      </c>
      <c r="E9" s="11">
        <f>SUMIFS(Datos!$F$2:$F$148,Datos!$A$2:$A$148,$A9,Datos!$B$2:$B$148,$B$2)</f>
        <v/>
      </c>
      <c r="F9" s="11">
        <f>SUMIFS(Datos!$G$2:$G$148,Datos!$A$2:$A$148,$A9,Datos!$B$2:$B$148,$B$2)</f>
        <v/>
      </c>
      <c r="G9" s="12">
        <f>IFERROR(C9/(C9+E9),0)</f>
        <v/>
      </c>
      <c r="H9" s="12">
        <f>IFERROR(D9/(D9+F9),0)</f>
        <v/>
      </c>
      <c r="I9" s="13">
        <f>IFERROR((D9/C9)/((D9+F9)/(C9+E9))*100,0)</f>
        <v/>
      </c>
      <c r="J9" s="14">
        <f>(H9-G9)*100</f>
        <v/>
      </c>
      <c r="K9" s="11">
        <f>SUMIFS(Datos!$H$2:$H$148,Datos!$A$2:$A$148,$A9,Datos!$B$2:$B$148,$B$2)</f>
        <v/>
      </c>
      <c r="L9" s="11">
        <f>SUMIFS(Datos!$I$2:$I$148,Datos!$A$2:$A$148,$A9,Datos!$B$2:$B$148,$B$2)</f>
        <v/>
      </c>
      <c r="M9" s="11">
        <f>SUMIFS(Datos!$J$2:$J$148,Datos!$A$2:$A$148,$A9,Datos!$B$2:$B$148,$B$2)</f>
        <v/>
      </c>
      <c r="N9" s="11">
        <f>SUMIFS(Datos!$K$2:$K$148,Datos!$A$2:$A$148,$A9,Datos!$B$2:$B$148,$B$2)</f>
        <v/>
      </c>
      <c r="O9" s="12">
        <f>IFERROR(K9/(K9+M9),0)</f>
        <v/>
      </c>
      <c r="P9" s="12">
        <f>IFERROR(L9/(L9+N9),0)</f>
        <v/>
      </c>
      <c r="Q9" s="13">
        <f>IFERROR((L9/K9)/((L9+N9)/(K9+M9))*100,0)</f>
        <v/>
      </c>
      <c r="R9" s="14">
        <f>(P9-O9)*100</f>
        <v/>
      </c>
      <c r="S9" s="11">
        <f>SUMIFS(Datos!$L$2:$L$148,Datos!$A$2:$A$148,$A9,Datos!$B$2:$B$148,$B$2)</f>
        <v/>
      </c>
      <c r="T9" s="11">
        <f>SUMIFS(Datos!$M$2:$M$148,Datos!$A$2:$A$148,$A9,Datos!$B$2:$B$148,$B$2)</f>
        <v/>
      </c>
      <c r="U9" s="11">
        <f>SUMIFS(Datos!$N$2:$N$148,Datos!$A$2:$A$148,$A9,Datos!$B$2:$B$148,$B$2)</f>
        <v/>
      </c>
      <c r="V9" s="11">
        <f>SUMIFS(Datos!$O$2:$O$148,Datos!$A$2:$A$148,$A9,Datos!$B$2:$B$148,$B$2)</f>
        <v/>
      </c>
      <c r="W9" s="12">
        <f>IFERROR(S9/(S9+U9),0)</f>
        <v/>
      </c>
      <c r="X9" s="12">
        <f>IFERROR(T9/(T9+V9),0)</f>
        <v/>
      </c>
      <c r="Y9" s="13">
        <f>IFERROR((T9/S9)/((T9+V9)/(S9+U9))*100,0)</f>
        <v/>
      </c>
      <c r="Z9" s="14">
        <f>(X9-W9)*100</f>
        <v/>
      </c>
    </row>
    <row r="10">
      <c r="A10" s="9" t="inlineStr">
        <is>
          <t>MOMETAX</t>
        </is>
      </c>
      <c r="B10" s="10" t="inlineStr">
        <is>
          <t>MOMETASONE</t>
        </is>
      </c>
      <c r="C10" s="11">
        <f>SUMIFS(Datos!$D$2:$D$148,Datos!$A$2:$A$148,$A10,Datos!$B$2:$B$148,$B$2)</f>
        <v/>
      </c>
      <c r="D10" s="11">
        <f>SUMIFS(Datos!$E$2:$E$148,Datos!$A$2:$A$148,$A10,Datos!$B$2:$B$148,$B$2)</f>
        <v/>
      </c>
      <c r="E10" s="11">
        <f>SUMIFS(Datos!$F$2:$F$148,Datos!$A$2:$A$148,$A10,Datos!$B$2:$B$148,$B$2)</f>
        <v/>
      </c>
      <c r="F10" s="11">
        <f>SUMIFS(Datos!$G$2:$G$148,Datos!$A$2:$A$148,$A10,Datos!$B$2:$B$148,$B$2)</f>
        <v/>
      </c>
      <c r="G10" s="12">
        <f>IFERROR(C10/(C10+E10),0)</f>
        <v/>
      </c>
      <c r="H10" s="12">
        <f>IFERROR(D10/(D10+F10),0)</f>
        <v/>
      </c>
      <c r="I10" s="13">
        <f>IFERROR((D10/C10)/((D10+F10)/(C10+E10))*100,0)</f>
        <v/>
      </c>
      <c r="J10" s="14">
        <f>(H10-G10)*100</f>
        <v/>
      </c>
      <c r="K10" s="11">
        <f>SUMIFS(Datos!$H$2:$H$148,Datos!$A$2:$A$148,$A10,Datos!$B$2:$B$148,$B$2)</f>
        <v/>
      </c>
      <c r="L10" s="11">
        <f>SUMIFS(Datos!$I$2:$I$148,Datos!$A$2:$A$148,$A10,Datos!$B$2:$B$148,$B$2)</f>
        <v/>
      </c>
      <c r="M10" s="11">
        <f>SUMIFS(Datos!$J$2:$J$148,Datos!$A$2:$A$148,$A10,Datos!$B$2:$B$148,$B$2)</f>
        <v/>
      </c>
      <c r="N10" s="11">
        <f>SUMIFS(Datos!$K$2:$K$148,Datos!$A$2:$A$148,$A10,Datos!$B$2:$B$148,$B$2)</f>
        <v/>
      </c>
      <c r="O10" s="12">
        <f>IFERROR(K10/(K10+M10),0)</f>
        <v/>
      </c>
      <c r="P10" s="12">
        <f>IFERROR(L10/(L10+N10),0)</f>
        <v/>
      </c>
      <c r="Q10" s="13">
        <f>IFERROR((L10/K10)/((L10+N10)/(K10+M10))*100,0)</f>
        <v/>
      </c>
      <c r="R10" s="14">
        <f>(P10-O10)*100</f>
        <v/>
      </c>
      <c r="S10" s="11">
        <f>SUMIFS(Datos!$L$2:$L$148,Datos!$A$2:$A$148,$A10,Datos!$B$2:$B$148,$B$2)</f>
        <v/>
      </c>
      <c r="T10" s="11">
        <f>SUMIFS(Datos!$M$2:$M$148,Datos!$A$2:$A$148,$A10,Datos!$B$2:$B$148,$B$2)</f>
        <v/>
      </c>
      <c r="U10" s="11">
        <f>SUMIFS(Datos!$N$2:$N$148,Datos!$A$2:$A$148,$A10,Datos!$B$2:$B$148,$B$2)</f>
        <v/>
      </c>
      <c r="V10" s="11">
        <f>SUMIFS(Datos!$O$2:$O$148,Datos!$A$2:$A$148,$A10,Datos!$B$2:$B$148,$B$2)</f>
        <v/>
      </c>
      <c r="W10" s="12">
        <f>IFERROR(S10/(S10+U10),0)</f>
        <v/>
      </c>
      <c r="X10" s="12">
        <f>IFERROR(T10/(T10+V10),0)</f>
        <v/>
      </c>
      <c r="Y10" s="13">
        <f>IFERROR((T10/S10)/((T10+V10)/(S10+U10))*100,0)</f>
        <v/>
      </c>
      <c r="Z10" s="14">
        <f>(X10-W10)*100</f>
        <v/>
      </c>
    </row>
    <row r="11">
      <c r="A11" s="9" t="inlineStr">
        <is>
          <t>BACTRIM</t>
        </is>
      </c>
      <c r="B11" s="10" t="inlineStr">
        <is>
          <t>GUAIFENESIN_SULFAMETHOXAZOLE_TRIMETHOPRIM | SULFAMETHOXAZOLE_TRIMETHOPRIM</t>
        </is>
      </c>
      <c r="C11" s="11">
        <f>SUMIFS(Datos!$D$2:$D$148,Datos!$A$2:$A$148,$A11,Datos!$B$2:$B$148,$B$2)</f>
        <v/>
      </c>
      <c r="D11" s="11">
        <f>SUMIFS(Datos!$E$2:$E$148,Datos!$A$2:$A$148,$A11,Datos!$B$2:$B$148,$B$2)</f>
        <v/>
      </c>
      <c r="E11" s="11">
        <f>SUMIFS(Datos!$F$2:$F$148,Datos!$A$2:$A$148,$A11,Datos!$B$2:$B$148,$B$2)</f>
        <v/>
      </c>
      <c r="F11" s="11">
        <f>SUMIFS(Datos!$G$2:$G$148,Datos!$A$2:$A$148,$A11,Datos!$B$2:$B$148,$B$2)</f>
        <v/>
      </c>
      <c r="G11" s="12">
        <f>IFERROR(C11/(C11+E11),0)</f>
        <v/>
      </c>
      <c r="H11" s="12">
        <f>IFERROR(D11/(D11+F11),0)</f>
        <v/>
      </c>
      <c r="I11" s="13">
        <f>IFERROR((D11/C11)/((D11+F11)/(C11+E11))*100,0)</f>
        <v/>
      </c>
      <c r="J11" s="14">
        <f>(H11-G11)*100</f>
        <v/>
      </c>
      <c r="K11" s="11">
        <f>SUMIFS(Datos!$H$2:$H$148,Datos!$A$2:$A$148,$A11,Datos!$B$2:$B$148,$B$2)</f>
        <v/>
      </c>
      <c r="L11" s="11">
        <f>SUMIFS(Datos!$I$2:$I$148,Datos!$A$2:$A$148,$A11,Datos!$B$2:$B$148,$B$2)</f>
        <v/>
      </c>
      <c r="M11" s="11">
        <f>SUMIFS(Datos!$J$2:$J$148,Datos!$A$2:$A$148,$A11,Datos!$B$2:$B$148,$B$2)</f>
        <v/>
      </c>
      <c r="N11" s="11">
        <f>SUMIFS(Datos!$K$2:$K$148,Datos!$A$2:$A$148,$A11,Datos!$B$2:$B$148,$B$2)</f>
        <v/>
      </c>
      <c r="O11" s="12">
        <f>IFERROR(K11/(K11+M11),0)</f>
        <v/>
      </c>
      <c r="P11" s="12">
        <f>IFERROR(L11/(L11+N11),0)</f>
        <v/>
      </c>
      <c r="Q11" s="13">
        <f>IFERROR((L11/K11)/((L11+N11)/(K11+M11))*100,0)</f>
        <v/>
      </c>
      <c r="R11" s="14">
        <f>(P11-O11)*100</f>
        <v/>
      </c>
      <c r="S11" s="11">
        <f>SUMIFS(Datos!$L$2:$L$148,Datos!$A$2:$A$148,$A11,Datos!$B$2:$B$148,$B$2)</f>
        <v/>
      </c>
      <c r="T11" s="11">
        <f>SUMIFS(Datos!$M$2:$M$148,Datos!$A$2:$A$148,$A11,Datos!$B$2:$B$148,$B$2)</f>
        <v/>
      </c>
      <c r="U11" s="11">
        <f>SUMIFS(Datos!$N$2:$N$148,Datos!$A$2:$A$148,$A11,Datos!$B$2:$B$148,$B$2)</f>
        <v/>
      </c>
      <c r="V11" s="11">
        <f>SUMIFS(Datos!$O$2:$O$148,Datos!$A$2:$A$148,$A11,Datos!$B$2:$B$148,$B$2)</f>
        <v/>
      </c>
      <c r="W11" s="12">
        <f>IFERROR(S11/(S11+U11),0)</f>
        <v/>
      </c>
      <c r="X11" s="12">
        <f>IFERROR(T11/(T11+V11),0)</f>
        <v/>
      </c>
      <c r="Y11" s="13">
        <f>IFERROR((T11/S11)/((T11+V11)/(S11+U11))*100,0)</f>
        <v/>
      </c>
      <c r="Z11" s="14">
        <f>(X11-W11)*100</f>
        <v/>
      </c>
    </row>
    <row r="12">
      <c r="A12" s="9" t="inlineStr">
        <is>
          <t>ACANTEX</t>
        </is>
      </c>
      <c r="B12" s="10" t="inlineStr">
        <is>
          <t>CEFTRIAXONE</t>
        </is>
      </c>
      <c r="C12" s="11">
        <f>SUMIFS(Datos!$D$2:$D$148,Datos!$A$2:$A$148,$A12,Datos!$B$2:$B$148,$B$2)</f>
        <v/>
      </c>
      <c r="D12" s="11">
        <f>SUMIFS(Datos!$E$2:$E$148,Datos!$A$2:$A$148,$A12,Datos!$B$2:$B$148,$B$2)</f>
        <v/>
      </c>
      <c r="E12" s="11">
        <f>SUMIFS(Datos!$F$2:$F$148,Datos!$A$2:$A$148,$A12,Datos!$B$2:$B$148,$B$2)</f>
        <v/>
      </c>
      <c r="F12" s="11">
        <f>SUMIFS(Datos!$G$2:$G$148,Datos!$A$2:$A$148,$A12,Datos!$B$2:$B$148,$B$2)</f>
        <v/>
      </c>
      <c r="G12" s="12">
        <f>IFERROR(C12/(C12+E12),0)</f>
        <v/>
      </c>
      <c r="H12" s="12">
        <f>IFERROR(D12/(D12+F12),0)</f>
        <v/>
      </c>
      <c r="I12" s="13">
        <f>IFERROR((D12/C12)/((D12+F12)/(C12+E12))*100,0)</f>
        <v/>
      </c>
      <c r="J12" s="14">
        <f>(H12-G12)*100</f>
        <v/>
      </c>
      <c r="K12" s="11">
        <f>SUMIFS(Datos!$H$2:$H$148,Datos!$A$2:$A$148,$A12,Datos!$B$2:$B$148,$B$2)</f>
        <v/>
      </c>
      <c r="L12" s="11">
        <f>SUMIFS(Datos!$I$2:$I$148,Datos!$A$2:$A$148,$A12,Datos!$B$2:$B$148,$B$2)</f>
        <v/>
      </c>
      <c r="M12" s="11">
        <f>SUMIFS(Datos!$J$2:$J$148,Datos!$A$2:$A$148,$A12,Datos!$B$2:$B$148,$B$2)</f>
        <v/>
      </c>
      <c r="N12" s="11">
        <f>SUMIFS(Datos!$K$2:$K$148,Datos!$A$2:$A$148,$A12,Datos!$B$2:$B$148,$B$2)</f>
        <v/>
      </c>
      <c r="O12" s="12">
        <f>IFERROR(K12/(K12+M12),0)</f>
        <v/>
      </c>
      <c r="P12" s="12">
        <f>IFERROR(L12/(L12+N12),0)</f>
        <v/>
      </c>
      <c r="Q12" s="13">
        <f>IFERROR((L12/K12)/((L12+N12)/(K12+M12))*100,0)</f>
        <v/>
      </c>
      <c r="R12" s="14">
        <f>(P12-O12)*100</f>
        <v/>
      </c>
      <c r="S12" s="11">
        <f>SUMIFS(Datos!$L$2:$L$148,Datos!$A$2:$A$148,$A12,Datos!$B$2:$B$148,$B$2)</f>
        <v/>
      </c>
      <c r="T12" s="11">
        <f>SUMIFS(Datos!$M$2:$M$148,Datos!$A$2:$A$148,$A12,Datos!$B$2:$B$148,$B$2)</f>
        <v/>
      </c>
      <c r="U12" s="11">
        <f>SUMIFS(Datos!$N$2:$N$148,Datos!$A$2:$A$148,$A12,Datos!$B$2:$B$148,$B$2)</f>
        <v/>
      </c>
      <c r="V12" s="11">
        <f>SUMIFS(Datos!$O$2:$O$148,Datos!$A$2:$A$148,$A12,Datos!$B$2:$B$148,$B$2)</f>
        <v/>
      </c>
      <c r="W12" s="12">
        <f>IFERROR(S12/(S12+U12),0)</f>
        <v/>
      </c>
      <c r="X12" s="12">
        <f>IFERROR(T12/(T12+V12),0)</f>
        <v/>
      </c>
      <c r="Y12" s="13">
        <f>IFERROR((T12/S12)/((T12+V12)/(S12+U12))*100,0)</f>
        <v/>
      </c>
      <c r="Z12" s="14">
        <f>(X12-W12)*100</f>
        <v/>
      </c>
    </row>
    <row r="13">
      <c r="A13" s="9" t="inlineStr">
        <is>
          <t>DECADRON</t>
        </is>
      </c>
      <c r="B13" s="10" t="inlineStr">
        <is>
          <t>DEXAMETHASONE</t>
        </is>
      </c>
      <c r="C13" s="11">
        <f>SUMIFS(Datos!$D$2:$D$148,Datos!$A$2:$A$148,$A13,Datos!$B$2:$B$148,$B$2)</f>
        <v/>
      </c>
      <c r="D13" s="11">
        <f>SUMIFS(Datos!$E$2:$E$148,Datos!$A$2:$A$148,$A13,Datos!$B$2:$B$148,$B$2)</f>
        <v/>
      </c>
      <c r="E13" s="11">
        <f>SUMIFS(Datos!$F$2:$F$148,Datos!$A$2:$A$148,$A13,Datos!$B$2:$B$148,$B$2)</f>
        <v/>
      </c>
      <c r="F13" s="11">
        <f>SUMIFS(Datos!$G$2:$G$148,Datos!$A$2:$A$148,$A13,Datos!$B$2:$B$148,$B$2)</f>
        <v/>
      </c>
      <c r="G13" s="12">
        <f>IFERROR(C13/(C13+E13),0)</f>
        <v/>
      </c>
      <c r="H13" s="12">
        <f>IFERROR(D13/(D13+F13),0)</f>
        <v/>
      </c>
      <c r="I13" s="13">
        <f>IFERROR((D13/C13)/((D13+F13)/(C13+E13))*100,0)</f>
        <v/>
      </c>
      <c r="J13" s="14">
        <f>(H13-G13)*100</f>
        <v/>
      </c>
      <c r="K13" s="11">
        <f>SUMIFS(Datos!$H$2:$H$148,Datos!$A$2:$A$148,$A13,Datos!$B$2:$B$148,$B$2)</f>
        <v/>
      </c>
      <c r="L13" s="11">
        <f>SUMIFS(Datos!$I$2:$I$148,Datos!$A$2:$A$148,$A13,Datos!$B$2:$B$148,$B$2)</f>
        <v/>
      </c>
      <c r="M13" s="11">
        <f>SUMIFS(Datos!$J$2:$J$148,Datos!$A$2:$A$148,$A13,Datos!$B$2:$B$148,$B$2)</f>
        <v/>
      </c>
      <c r="N13" s="11">
        <f>SUMIFS(Datos!$K$2:$K$148,Datos!$A$2:$A$148,$A13,Datos!$B$2:$B$148,$B$2)</f>
        <v/>
      </c>
      <c r="O13" s="12">
        <f>IFERROR(K13/(K13+M13),0)</f>
        <v/>
      </c>
      <c r="P13" s="12">
        <f>IFERROR(L13/(L13+N13),0)</f>
        <v/>
      </c>
      <c r="Q13" s="13">
        <f>IFERROR((L13/K13)/((L13+N13)/(K13+M13))*100,0)</f>
        <v/>
      </c>
      <c r="R13" s="14">
        <f>(P13-O13)*100</f>
        <v/>
      </c>
      <c r="S13" s="11">
        <f>SUMIFS(Datos!$L$2:$L$148,Datos!$A$2:$A$148,$A13,Datos!$B$2:$B$148,$B$2)</f>
        <v/>
      </c>
      <c r="T13" s="11">
        <f>SUMIFS(Datos!$M$2:$M$148,Datos!$A$2:$A$148,$A13,Datos!$B$2:$B$148,$B$2)</f>
        <v/>
      </c>
      <c r="U13" s="11">
        <f>SUMIFS(Datos!$N$2:$N$148,Datos!$A$2:$A$148,$A13,Datos!$B$2:$B$148,$B$2)</f>
        <v/>
      </c>
      <c r="V13" s="11">
        <f>SUMIFS(Datos!$O$2:$O$148,Datos!$A$2:$A$148,$A13,Datos!$B$2:$B$148,$B$2)</f>
        <v/>
      </c>
      <c r="W13" s="12">
        <f>IFERROR(S13/(S13+U13),0)</f>
        <v/>
      </c>
      <c r="X13" s="12">
        <f>IFERROR(T13/(T13+V13),0)</f>
        <v/>
      </c>
      <c r="Y13" s="13">
        <f>IFERROR((T13/S13)/((T13+V13)/(S13+U13))*100,0)</f>
        <v/>
      </c>
      <c r="Z13" s="14">
        <f>(X13-W13)*100</f>
        <v/>
      </c>
    </row>
    <row r="14">
      <c r="A14" s="9" t="inlineStr">
        <is>
          <t>MACROMAX</t>
        </is>
      </c>
      <c r="B14" s="10" t="inlineStr">
        <is>
          <t>AZITHROMYCIN</t>
        </is>
      </c>
      <c r="C14" s="11">
        <f>SUMIFS(Datos!$D$2:$D$148,Datos!$A$2:$A$148,$A14,Datos!$B$2:$B$148,$B$2)</f>
        <v/>
      </c>
      <c r="D14" s="11">
        <f>SUMIFS(Datos!$E$2:$E$148,Datos!$A$2:$A$148,$A14,Datos!$B$2:$B$148,$B$2)</f>
        <v/>
      </c>
      <c r="E14" s="11">
        <f>SUMIFS(Datos!$F$2:$F$148,Datos!$A$2:$A$148,$A14,Datos!$B$2:$B$148,$B$2)</f>
        <v/>
      </c>
      <c r="F14" s="11">
        <f>SUMIFS(Datos!$G$2:$G$148,Datos!$A$2:$A$148,$A14,Datos!$B$2:$B$148,$B$2)</f>
        <v/>
      </c>
      <c r="G14" s="12">
        <f>IFERROR(C14/(C14+E14),0)</f>
        <v/>
      </c>
      <c r="H14" s="12">
        <f>IFERROR(D14/(D14+F14),0)</f>
        <v/>
      </c>
      <c r="I14" s="13">
        <f>IFERROR((D14/C14)/((D14+F14)/(C14+E14))*100,0)</f>
        <v/>
      </c>
      <c r="J14" s="14">
        <f>(H14-G14)*100</f>
        <v/>
      </c>
      <c r="K14" s="11">
        <f>SUMIFS(Datos!$H$2:$H$148,Datos!$A$2:$A$148,$A14,Datos!$B$2:$B$148,$B$2)</f>
        <v/>
      </c>
      <c r="L14" s="11">
        <f>SUMIFS(Datos!$I$2:$I$148,Datos!$A$2:$A$148,$A14,Datos!$B$2:$B$148,$B$2)</f>
        <v/>
      </c>
      <c r="M14" s="11">
        <f>SUMIFS(Datos!$J$2:$J$148,Datos!$A$2:$A$148,$A14,Datos!$B$2:$B$148,$B$2)</f>
        <v/>
      </c>
      <c r="N14" s="11">
        <f>SUMIFS(Datos!$K$2:$K$148,Datos!$A$2:$A$148,$A14,Datos!$B$2:$B$148,$B$2)</f>
        <v/>
      </c>
      <c r="O14" s="12">
        <f>IFERROR(K14/(K14+M14),0)</f>
        <v/>
      </c>
      <c r="P14" s="12">
        <f>IFERROR(L14/(L14+N14),0)</f>
        <v/>
      </c>
      <c r="Q14" s="13">
        <f>IFERROR((L14/K14)/((L14+N14)/(K14+M14))*100,0)</f>
        <v/>
      </c>
      <c r="R14" s="14">
        <f>(P14-O14)*100</f>
        <v/>
      </c>
      <c r="S14" s="11">
        <f>SUMIFS(Datos!$L$2:$L$148,Datos!$A$2:$A$148,$A14,Datos!$B$2:$B$148,$B$2)</f>
        <v/>
      </c>
      <c r="T14" s="11">
        <f>SUMIFS(Datos!$M$2:$M$148,Datos!$A$2:$A$148,$A14,Datos!$B$2:$B$148,$B$2)</f>
        <v/>
      </c>
      <c r="U14" s="11">
        <f>SUMIFS(Datos!$N$2:$N$148,Datos!$A$2:$A$148,$A14,Datos!$B$2:$B$148,$B$2)</f>
        <v/>
      </c>
      <c r="V14" s="11">
        <f>SUMIFS(Datos!$O$2:$O$148,Datos!$A$2:$A$148,$A14,Datos!$B$2:$B$148,$B$2)</f>
        <v/>
      </c>
      <c r="W14" s="12">
        <f>IFERROR(S14/(S14+U14),0)</f>
        <v/>
      </c>
      <c r="X14" s="12">
        <f>IFERROR(T14/(T14+V14),0)</f>
        <v/>
      </c>
      <c r="Y14" s="13">
        <f>IFERROR((T14/S14)/((T14+V14)/(S14+U14))*100,0)</f>
        <v/>
      </c>
      <c r="Z14" s="14">
        <f>(X14-W14)*100</f>
        <v/>
      </c>
    </row>
    <row r="15">
      <c r="A15" s="9" t="inlineStr">
        <is>
          <t>CEFALEXINA</t>
        </is>
      </c>
      <c r="B15" s="10" t="inlineStr">
        <is>
          <t>CEFALEXIN</t>
        </is>
      </c>
      <c r="C15" s="11">
        <f>SUMIFS(Datos!$D$2:$D$148,Datos!$A$2:$A$148,$A15,Datos!$B$2:$B$148,$B$2)</f>
        <v/>
      </c>
      <c r="D15" s="11">
        <f>SUMIFS(Datos!$E$2:$E$148,Datos!$A$2:$A$148,$A15,Datos!$B$2:$B$148,$B$2)</f>
        <v/>
      </c>
      <c r="E15" s="11">
        <f>SUMIFS(Datos!$F$2:$F$148,Datos!$A$2:$A$148,$A15,Datos!$B$2:$B$148,$B$2)</f>
        <v/>
      </c>
      <c r="F15" s="11">
        <f>SUMIFS(Datos!$G$2:$G$148,Datos!$A$2:$A$148,$A15,Datos!$B$2:$B$148,$B$2)</f>
        <v/>
      </c>
      <c r="G15" s="12">
        <f>IFERROR(C15/(C15+E15),0)</f>
        <v/>
      </c>
      <c r="H15" s="12">
        <f>IFERROR(D15/(D15+F15),0)</f>
        <v/>
      </c>
      <c r="I15" s="13">
        <f>IFERROR((D15/C15)/((D15+F15)/(C15+E15))*100,0)</f>
        <v/>
      </c>
      <c r="J15" s="14">
        <f>(H15-G15)*100</f>
        <v/>
      </c>
      <c r="K15" s="11">
        <f>SUMIFS(Datos!$H$2:$H$148,Datos!$A$2:$A$148,$A15,Datos!$B$2:$B$148,$B$2)</f>
        <v/>
      </c>
      <c r="L15" s="11">
        <f>SUMIFS(Datos!$I$2:$I$148,Datos!$A$2:$A$148,$A15,Datos!$B$2:$B$148,$B$2)</f>
        <v/>
      </c>
      <c r="M15" s="11">
        <f>SUMIFS(Datos!$J$2:$J$148,Datos!$A$2:$A$148,$A15,Datos!$B$2:$B$148,$B$2)</f>
        <v/>
      </c>
      <c r="N15" s="11">
        <f>SUMIFS(Datos!$K$2:$K$148,Datos!$A$2:$A$148,$A15,Datos!$B$2:$B$148,$B$2)</f>
        <v/>
      </c>
      <c r="O15" s="12">
        <f>IFERROR(K15/(K15+M15),0)</f>
        <v/>
      </c>
      <c r="P15" s="12">
        <f>IFERROR(L15/(L15+N15),0)</f>
        <v/>
      </c>
      <c r="Q15" s="13">
        <f>IFERROR((L15/K15)/((L15+N15)/(K15+M15))*100,0)</f>
        <v/>
      </c>
      <c r="R15" s="14">
        <f>(P15-O15)*100</f>
        <v/>
      </c>
      <c r="S15" s="11">
        <f>SUMIFS(Datos!$L$2:$L$148,Datos!$A$2:$A$148,$A15,Datos!$B$2:$B$148,$B$2)</f>
        <v/>
      </c>
      <c r="T15" s="11">
        <f>SUMIFS(Datos!$M$2:$M$148,Datos!$A$2:$A$148,$A15,Datos!$B$2:$B$148,$B$2)</f>
        <v/>
      </c>
      <c r="U15" s="11">
        <f>SUMIFS(Datos!$N$2:$N$148,Datos!$A$2:$A$148,$A15,Datos!$B$2:$B$148,$B$2)</f>
        <v/>
      </c>
      <c r="V15" s="11">
        <f>SUMIFS(Datos!$O$2:$O$148,Datos!$A$2:$A$148,$A15,Datos!$B$2:$B$148,$B$2)</f>
        <v/>
      </c>
      <c r="W15" s="12">
        <f>IFERROR(S15/(S15+U15),0)</f>
        <v/>
      </c>
      <c r="X15" s="12">
        <f>IFERROR(T15/(T15+V15),0)</f>
        <v/>
      </c>
      <c r="Y15" s="13">
        <f>IFERROR((T15/S15)/((T15+V15)/(S15+U15))*100,0)</f>
        <v/>
      </c>
      <c r="Z15" s="14">
        <f>(X15-W15)*100</f>
        <v/>
      </c>
    </row>
    <row r="16">
      <c r="A16" s="9" t="inlineStr">
        <is>
          <t>CALCIO BASE</t>
        </is>
      </c>
      <c r="B16" s="10" t="inlineStr">
        <is>
          <t>CALCIUM | CALCIUM_COLECALCIFEROL | CALCIUM_ERGOCALCIFEROL</t>
        </is>
      </c>
      <c r="C16" s="11">
        <f>SUMIFS(Datos!$D$2:$D$148,Datos!$A$2:$A$148,$A16,Datos!$B$2:$B$148,$B$2)</f>
        <v/>
      </c>
      <c r="D16" s="11">
        <f>SUMIFS(Datos!$E$2:$E$148,Datos!$A$2:$A$148,$A16,Datos!$B$2:$B$148,$B$2)</f>
        <v/>
      </c>
      <c r="E16" s="11">
        <f>SUMIFS(Datos!$F$2:$F$148,Datos!$A$2:$A$148,$A16,Datos!$B$2:$B$148,$B$2)</f>
        <v/>
      </c>
      <c r="F16" s="11">
        <f>SUMIFS(Datos!$G$2:$G$148,Datos!$A$2:$A$148,$A16,Datos!$B$2:$B$148,$B$2)</f>
        <v/>
      </c>
      <c r="G16" s="12">
        <f>IFERROR(C16/(C16+E16),0)</f>
        <v/>
      </c>
      <c r="H16" s="12">
        <f>IFERROR(D16/(D16+F16),0)</f>
        <v/>
      </c>
      <c r="I16" s="13">
        <f>IFERROR((D16/C16)/((D16+F16)/(C16+E16))*100,0)</f>
        <v/>
      </c>
      <c r="J16" s="14">
        <f>(H16-G16)*100</f>
        <v/>
      </c>
      <c r="K16" s="11">
        <f>SUMIFS(Datos!$H$2:$H$148,Datos!$A$2:$A$148,$A16,Datos!$B$2:$B$148,$B$2)</f>
        <v/>
      </c>
      <c r="L16" s="11">
        <f>SUMIFS(Datos!$I$2:$I$148,Datos!$A$2:$A$148,$A16,Datos!$B$2:$B$148,$B$2)</f>
        <v/>
      </c>
      <c r="M16" s="11">
        <f>SUMIFS(Datos!$J$2:$J$148,Datos!$A$2:$A$148,$A16,Datos!$B$2:$B$148,$B$2)</f>
        <v/>
      </c>
      <c r="N16" s="11">
        <f>SUMIFS(Datos!$K$2:$K$148,Datos!$A$2:$A$148,$A16,Datos!$B$2:$B$148,$B$2)</f>
        <v/>
      </c>
      <c r="O16" s="12">
        <f>IFERROR(K16/(K16+M16),0)</f>
        <v/>
      </c>
      <c r="P16" s="12">
        <f>IFERROR(L16/(L16+N16),0)</f>
        <v/>
      </c>
      <c r="Q16" s="13">
        <f>IFERROR((L16/K16)/((L16+N16)/(K16+M16))*100,0)</f>
        <v/>
      </c>
      <c r="R16" s="14">
        <f>(P16-O16)*100</f>
        <v/>
      </c>
      <c r="S16" s="11">
        <f>SUMIFS(Datos!$L$2:$L$148,Datos!$A$2:$A$148,$A16,Datos!$B$2:$B$148,$B$2)</f>
        <v/>
      </c>
      <c r="T16" s="11">
        <f>SUMIFS(Datos!$M$2:$M$148,Datos!$A$2:$A$148,$A16,Datos!$B$2:$B$148,$B$2)</f>
        <v/>
      </c>
      <c r="U16" s="11">
        <f>SUMIFS(Datos!$N$2:$N$148,Datos!$A$2:$A$148,$A16,Datos!$B$2:$B$148,$B$2)</f>
        <v/>
      </c>
      <c r="V16" s="11">
        <f>SUMIFS(Datos!$O$2:$O$148,Datos!$A$2:$A$148,$A16,Datos!$B$2:$B$148,$B$2)</f>
        <v/>
      </c>
      <c r="W16" s="12">
        <f>IFERROR(S16/(S16+U16),0)</f>
        <v/>
      </c>
      <c r="X16" s="12">
        <f>IFERROR(T16/(T16+V16),0)</f>
        <v/>
      </c>
      <c r="Y16" s="13">
        <f>IFERROR((T16/S16)/((T16+V16)/(S16+U16))*100,0)</f>
        <v/>
      </c>
      <c r="Z16" s="14">
        <f>(X16-W16)*100</f>
        <v/>
      </c>
    </row>
    <row r="17">
      <c r="A17" s="9" t="inlineStr">
        <is>
          <t>ISIS FREE</t>
        </is>
      </c>
      <c r="B17" s="10" t="inlineStr">
        <is>
          <t>DROSPIRENONE</t>
        </is>
      </c>
      <c r="C17" s="11">
        <f>SUMIFS(Datos!$D$2:$D$148,Datos!$A$2:$A$148,$A17,Datos!$B$2:$B$148,$B$2)</f>
        <v/>
      </c>
      <c r="D17" s="11">
        <f>SUMIFS(Datos!$E$2:$E$148,Datos!$A$2:$A$148,$A17,Datos!$B$2:$B$148,$B$2)</f>
        <v/>
      </c>
      <c r="E17" s="11">
        <f>SUMIFS(Datos!$F$2:$F$148,Datos!$A$2:$A$148,$A17,Datos!$B$2:$B$148,$B$2)</f>
        <v/>
      </c>
      <c r="F17" s="11">
        <f>SUMIFS(Datos!$G$2:$G$148,Datos!$A$2:$A$148,$A17,Datos!$B$2:$B$148,$B$2)</f>
        <v/>
      </c>
      <c r="G17" s="12">
        <f>IFERROR(C17/(C17+E17),0)</f>
        <v/>
      </c>
      <c r="H17" s="12">
        <f>IFERROR(D17/(D17+F17),0)</f>
        <v/>
      </c>
      <c r="I17" s="13">
        <f>IFERROR((D17/C17)/((D17+F17)/(C17+E17))*100,0)</f>
        <v/>
      </c>
      <c r="J17" s="14">
        <f>(H17-G17)*100</f>
        <v/>
      </c>
      <c r="K17" s="11">
        <f>SUMIFS(Datos!$H$2:$H$148,Datos!$A$2:$A$148,$A17,Datos!$B$2:$B$148,$B$2)</f>
        <v/>
      </c>
      <c r="L17" s="11">
        <f>SUMIFS(Datos!$I$2:$I$148,Datos!$A$2:$A$148,$A17,Datos!$B$2:$B$148,$B$2)</f>
        <v/>
      </c>
      <c r="M17" s="11">
        <f>SUMIFS(Datos!$J$2:$J$148,Datos!$A$2:$A$148,$A17,Datos!$B$2:$B$148,$B$2)</f>
        <v/>
      </c>
      <c r="N17" s="11">
        <f>SUMIFS(Datos!$K$2:$K$148,Datos!$A$2:$A$148,$A17,Datos!$B$2:$B$148,$B$2)</f>
        <v/>
      </c>
      <c r="O17" s="12">
        <f>IFERROR(K17/(K17+M17),0)</f>
        <v/>
      </c>
      <c r="P17" s="12">
        <f>IFERROR(L17/(L17+N17),0)</f>
        <v/>
      </c>
      <c r="Q17" s="13">
        <f>IFERROR((L17/K17)/((L17+N17)/(K17+M17))*100,0)</f>
        <v/>
      </c>
      <c r="R17" s="14">
        <f>(P17-O17)*100</f>
        <v/>
      </c>
      <c r="S17" s="11">
        <f>SUMIFS(Datos!$L$2:$L$148,Datos!$A$2:$A$148,$A17,Datos!$B$2:$B$148,$B$2)</f>
        <v/>
      </c>
      <c r="T17" s="11">
        <f>SUMIFS(Datos!$M$2:$M$148,Datos!$A$2:$A$148,$A17,Datos!$B$2:$B$148,$B$2)</f>
        <v/>
      </c>
      <c r="U17" s="11">
        <f>SUMIFS(Datos!$N$2:$N$148,Datos!$A$2:$A$148,$A17,Datos!$B$2:$B$148,$B$2)</f>
        <v/>
      </c>
      <c r="V17" s="11">
        <f>SUMIFS(Datos!$O$2:$O$148,Datos!$A$2:$A$148,$A17,Datos!$B$2:$B$148,$B$2)</f>
        <v/>
      </c>
      <c r="W17" s="12">
        <f>IFERROR(S17/(S17+U17),0)</f>
        <v/>
      </c>
      <c r="X17" s="12">
        <f>IFERROR(T17/(T17+V17),0)</f>
        <v/>
      </c>
      <c r="Y17" s="13">
        <f>IFERROR((T17/S17)/((T17+V17)/(S17+U17))*100,0)</f>
        <v/>
      </c>
      <c r="Z17" s="14">
        <f>(X17-W17)*100</f>
        <v/>
      </c>
    </row>
    <row r="18">
      <c r="A18" s="9" t="inlineStr">
        <is>
          <t>TRIP D3</t>
        </is>
      </c>
      <c r="B18" s="10" t="inlineStr">
        <is>
          <t>COLECALCIFEROL | COLECALCIFEROL_MENAQUINONE-7</t>
        </is>
      </c>
      <c r="C18" s="11">
        <f>SUMIFS(Datos!$D$2:$D$148,Datos!$A$2:$A$148,$A18,Datos!$B$2:$B$148,$B$2)</f>
        <v/>
      </c>
      <c r="D18" s="11">
        <f>SUMIFS(Datos!$E$2:$E$148,Datos!$A$2:$A$148,$A18,Datos!$B$2:$B$148,$B$2)</f>
        <v/>
      </c>
      <c r="E18" s="11">
        <f>SUMIFS(Datos!$F$2:$F$148,Datos!$A$2:$A$148,$A18,Datos!$B$2:$B$148,$B$2)</f>
        <v/>
      </c>
      <c r="F18" s="11">
        <f>SUMIFS(Datos!$G$2:$G$148,Datos!$A$2:$A$148,$A18,Datos!$B$2:$B$148,$B$2)</f>
        <v/>
      </c>
      <c r="G18" s="12">
        <f>IFERROR(C18/(C18+E18),0)</f>
        <v/>
      </c>
      <c r="H18" s="12">
        <f>IFERROR(D18/(D18+F18),0)</f>
        <v/>
      </c>
      <c r="I18" s="13">
        <f>IFERROR((D18/C18)/((D18+F18)/(C18+E18))*100,0)</f>
        <v/>
      </c>
      <c r="J18" s="14">
        <f>(H18-G18)*100</f>
        <v/>
      </c>
      <c r="K18" s="11">
        <f>SUMIFS(Datos!$H$2:$H$148,Datos!$A$2:$A$148,$A18,Datos!$B$2:$B$148,$B$2)</f>
        <v/>
      </c>
      <c r="L18" s="11">
        <f>SUMIFS(Datos!$I$2:$I$148,Datos!$A$2:$A$148,$A18,Datos!$B$2:$B$148,$B$2)</f>
        <v/>
      </c>
      <c r="M18" s="11">
        <f>SUMIFS(Datos!$J$2:$J$148,Datos!$A$2:$A$148,$A18,Datos!$B$2:$B$148,$B$2)</f>
        <v/>
      </c>
      <c r="N18" s="11">
        <f>SUMIFS(Datos!$K$2:$K$148,Datos!$A$2:$A$148,$A18,Datos!$B$2:$B$148,$B$2)</f>
        <v/>
      </c>
      <c r="O18" s="12">
        <f>IFERROR(K18/(K18+M18),0)</f>
        <v/>
      </c>
      <c r="P18" s="12">
        <f>IFERROR(L18/(L18+N18),0)</f>
        <v/>
      </c>
      <c r="Q18" s="13">
        <f>IFERROR((L18/K18)/((L18+N18)/(K18+M18))*100,0)</f>
        <v/>
      </c>
      <c r="R18" s="14">
        <f>(P18-O18)*100</f>
        <v/>
      </c>
      <c r="S18" s="11">
        <f>SUMIFS(Datos!$L$2:$L$148,Datos!$A$2:$A$148,$A18,Datos!$B$2:$B$148,$B$2)</f>
        <v/>
      </c>
      <c r="T18" s="11">
        <f>SUMIFS(Datos!$M$2:$M$148,Datos!$A$2:$A$148,$A18,Datos!$B$2:$B$148,$B$2)</f>
        <v/>
      </c>
      <c r="U18" s="11">
        <f>SUMIFS(Datos!$N$2:$N$148,Datos!$A$2:$A$148,$A18,Datos!$B$2:$B$148,$B$2)</f>
        <v/>
      </c>
      <c r="V18" s="11">
        <f>SUMIFS(Datos!$O$2:$O$148,Datos!$A$2:$A$148,$A18,Datos!$B$2:$B$148,$B$2)</f>
        <v/>
      </c>
      <c r="W18" s="12">
        <f>IFERROR(S18/(S18+U18),0)</f>
        <v/>
      </c>
      <c r="X18" s="12">
        <f>IFERROR(T18/(T18+V18),0)</f>
        <v/>
      </c>
      <c r="Y18" s="13">
        <f>IFERROR((T18/S18)/((T18+V18)/(S18+U18))*100,0)</f>
        <v/>
      </c>
      <c r="Z18" s="14">
        <f>(X18-W18)*100</f>
        <v/>
      </c>
    </row>
    <row r="19">
      <c r="A19" s="9" t="inlineStr">
        <is>
          <t>DELTROX</t>
        </is>
      </c>
      <c r="B19" s="10" t="inlineStr">
        <is>
          <t>IBANDRONIC ACID</t>
        </is>
      </c>
      <c r="C19" s="11">
        <f>SUMIFS(Datos!$D$2:$D$148,Datos!$A$2:$A$148,$A19,Datos!$B$2:$B$148,$B$2)</f>
        <v/>
      </c>
      <c r="D19" s="11">
        <f>SUMIFS(Datos!$E$2:$E$148,Datos!$A$2:$A$148,$A19,Datos!$B$2:$B$148,$B$2)</f>
        <v/>
      </c>
      <c r="E19" s="11">
        <f>SUMIFS(Datos!$F$2:$F$148,Datos!$A$2:$A$148,$A19,Datos!$B$2:$B$148,$B$2)</f>
        <v/>
      </c>
      <c r="F19" s="11">
        <f>SUMIFS(Datos!$G$2:$G$148,Datos!$A$2:$A$148,$A19,Datos!$B$2:$B$148,$B$2)</f>
        <v/>
      </c>
      <c r="G19" s="12">
        <f>IFERROR(C19/(C19+E19),0)</f>
        <v/>
      </c>
      <c r="H19" s="12">
        <f>IFERROR(D19/(D19+F19),0)</f>
        <v/>
      </c>
      <c r="I19" s="13">
        <f>IFERROR((D19/C19)/((D19+F19)/(C19+E19))*100,0)</f>
        <v/>
      </c>
      <c r="J19" s="14">
        <f>(H19-G19)*100</f>
        <v/>
      </c>
      <c r="K19" s="11">
        <f>SUMIFS(Datos!$H$2:$H$148,Datos!$A$2:$A$148,$A19,Datos!$B$2:$B$148,$B$2)</f>
        <v/>
      </c>
      <c r="L19" s="11">
        <f>SUMIFS(Datos!$I$2:$I$148,Datos!$A$2:$A$148,$A19,Datos!$B$2:$B$148,$B$2)</f>
        <v/>
      </c>
      <c r="M19" s="11">
        <f>SUMIFS(Datos!$J$2:$J$148,Datos!$A$2:$A$148,$A19,Datos!$B$2:$B$148,$B$2)</f>
        <v/>
      </c>
      <c r="N19" s="11">
        <f>SUMIFS(Datos!$K$2:$K$148,Datos!$A$2:$A$148,$A19,Datos!$B$2:$B$148,$B$2)</f>
        <v/>
      </c>
      <c r="O19" s="12">
        <f>IFERROR(K19/(K19+M19),0)</f>
        <v/>
      </c>
      <c r="P19" s="12">
        <f>IFERROR(L19/(L19+N19),0)</f>
        <v/>
      </c>
      <c r="Q19" s="13">
        <f>IFERROR((L19/K19)/((L19+N19)/(K19+M19))*100,0)</f>
        <v/>
      </c>
      <c r="R19" s="14">
        <f>(P19-O19)*100</f>
        <v/>
      </c>
      <c r="S19" s="11">
        <f>SUMIFS(Datos!$L$2:$L$148,Datos!$A$2:$A$148,$A19,Datos!$B$2:$B$148,$B$2)</f>
        <v/>
      </c>
      <c r="T19" s="11">
        <f>SUMIFS(Datos!$M$2:$M$148,Datos!$A$2:$A$148,$A19,Datos!$B$2:$B$148,$B$2)</f>
        <v/>
      </c>
      <c r="U19" s="11">
        <f>SUMIFS(Datos!$N$2:$N$148,Datos!$A$2:$A$148,$A19,Datos!$B$2:$B$148,$B$2)</f>
        <v/>
      </c>
      <c r="V19" s="11">
        <f>SUMIFS(Datos!$O$2:$O$148,Datos!$A$2:$A$148,$A19,Datos!$B$2:$B$148,$B$2)</f>
        <v/>
      </c>
      <c r="W19" s="12">
        <f>IFERROR(S19/(S19+U19),0)</f>
        <v/>
      </c>
      <c r="X19" s="12">
        <f>IFERROR(T19/(T19+V19),0)</f>
        <v/>
      </c>
      <c r="Y19" s="13">
        <f>IFERROR((T19/S19)/((T19+V19)/(S19+U19))*100,0)</f>
        <v/>
      </c>
      <c r="Z19" s="14">
        <f>(X19-W19)*100</f>
        <v/>
      </c>
    </row>
    <row r="20">
      <c r="A20" s="9" t="inlineStr">
        <is>
          <t>ENTRESTO</t>
        </is>
      </c>
      <c r="B20" s="10" t="inlineStr">
        <is>
          <t>SACUBITRIL_VALSARTAN</t>
        </is>
      </c>
      <c r="C20" s="11">
        <f>SUMIFS(Datos!$D$2:$D$148,Datos!$A$2:$A$148,$A20,Datos!$B$2:$B$148,$B$2)</f>
        <v/>
      </c>
      <c r="D20" s="11">
        <f>SUMIFS(Datos!$E$2:$E$148,Datos!$A$2:$A$148,$A20,Datos!$B$2:$B$148,$B$2)</f>
        <v/>
      </c>
      <c r="E20" s="11">
        <f>SUMIFS(Datos!$F$2:$F$148,Datos!$A$2:$A$148,$A20,Datos!$B$2:$B$148,$B$2)</f>
        <v/>
      </c>
      <c r="F20" s="11">
        <f>SUMIFS(Datos!$G$2:$G$148,Datos!$A$2:$A$148,$A20,Datos!$B$2:$B$148,$B$2)</f>
        <v/>
      </c>
      <c r="G20" s="12">
        <f>IFERROR(C20/(C20+E20),0)</f>
        <v/>
      </c>
      <c r="H20" s="12">
        <f>IFERROR(D20/(D20+F20),0)</f>
        <v/>
      </c>
      <c r="I20" s="13">
        <f>IFERROR((D20/C20)/((D20+F20)/(C20+E20))*100,0)</f>
        <v/>
      </c>
      <c r="J20" s="14">
        <f>(H20-G20)*100</f>
        <v/>
      </c>
      <c r="K20" s="11">
        <f>SUMIFS(Datos!$H$2:$H$148,Datos!$A$2:$A$148,$A20,Datos!$B$2:$B$148,$B$2)</f>
        <v/>
      </c>
      <c r="L20" s="11">
        <f>SUMIFS(Datos!$I$2:$I$148,Datos!$A$2:$A$148,$A20,Datos!$B$2:$B$148,$B$2)</f>
        <v/>
      </c>
      <c r="M20" s="11">
        <f>SUMIFS(Datos!$J$2:$J$148,Datos!$A$2:$A$148,$A20,Datos!$B$2:$B$148,$B$2)</f>
        <v/>
      </c>
      <c r="N20" s="11">
        <f>SUMIFS(Datos!$K$2:$K$148,Datos!$A$2:$A$148,$A20,Datos!$B$2:$B$148,$B$2)</f>
        <v/>
      </c>
      <c r="O20" s="12">
        <f>IFERROR(K20/(K20+M20),0)</f>
        <v/>
      </c>
      <c r="P20" s="12">
        <f>IFERROR(L20/(L20+N20),0)</f>
        <v/>
      </c>
      <c r="Q20" s="13">
        <f>IFERROR((L20/K20)/((L20+N20)/(K20+M20))*100,0)</f>
        <v/>
      </c>
      <c r="R20" s="14">
        <f>(P20-O20)*100</f>
        <v/>
      </c>
      <c r="S20" s="11">
        <f>SUMIFS(Datos!$L$2:$L$148,Datos!$A$2:$A$148,$A20,Datos!$B$2:$B$148,$B$2)</f>
        <v/>
      </c>
      <c r="T20" s="11">
        <f>SUMIFS(Datos!$M$2:$M$148,Datos!$A$2:$A$148,$A20,Datos!$B$2:$B$148,$B$2)</f>
        <v/>
      </c>
      <c r="U20" s="11">
        <f>SUMIFS(Datos!$N$2:$N$148,Datos!$A$2:$A$148,$A20,Datos!$B$2:$B$148,$B$2)</f>
        <v/>
      </c>
      <c r="V20" s="11">
        <f>SUMIFS(Datos!$O$2:$O$148,Datos!$A$2:$A$148,$A20,Datos!$B$2:$B$148,$B$2)</f>
        <v/>
      </c>
      <c r="W20" s="12">
        <f>IFERROR(S20/(S20+U20),0)</f>
        <v/>
      </c>
      <c r="X20" s="12">
        <f>IFERROR(T20/(T20+V20),0)</f>
        <v/>
      </c>
      <c r="Y20" s="13">
        <f>IFERROR((T20/S20)/((T20+V20)/(S20+U20))*100,0)</f>
        <v/>
      </c>
      <c r="Z20" s="14">
        <f>(X20-W20)*100</f>
        <v/>
      </c>
    </row>
    <row r="21">
      <c r="A21" s="9" t="inlineStr">
        <is>
          <t>DILATREND</t>
        </is>
      </c>
      <c r="B21" s="10" t="inlineStr">
        <is>
          <t>CARVEDILOL | CARVEDILOL_HYDROCHLOROTHIAZIDE</t>
        </is>
      </c>
      <c r="C21" s="11">
        <f>SUMIFS(Datos!$D$2:$D$148,Datos!$A$2:$A$148,$A21,Datos!$B$2:$B$148,$B$2)</f>
        <v/>
      </c>
      <c r="D21" s="11">
        <f>SUMIFS(Datos!$E$2:$E$148,Datos!$A$2:$A$148,$A21,Datos!$B$2:$B$148,$B$2)</f>
        <v/>
      </c>
      <c r="E21" s="11">
        <f>SUMIFS(Datos!$F$2:$F$148,Datos!$A$2:$A$148,$A21,Datos!$B$2:$B$148,$B$2)</f>
        <v/>
      </c>
      <c r="F21" s="11">
        <f>SUMIFS(Datos!$G$2:$G$148,Datos!$A$2:$A$148,$A21,Datos!$B$2:$B$148,$B$2)</f>
        <v/>
      </c>
      <c r="G21" s="12">
        <f>IFERROR(C21/(C21+E21),0)</f>
        <v/>
      </c>
      <c r="H21" s="12">
        <f>IFERROR(D21/(D21+F21),0)</f>
        <v/>
      </c>
      <c r="I21" s="13">
        <f>IFERROR((D21/C21)/((D21+F21)/(C21+E21))*100,0)</f>
        <v/>
      </c>
      <c r="J21" s="14">
        <f>(H21-G21)*100</f>
        <v/>
      </c>
      <c r="K21" s="11">
        <f>SUMIFS(Datos!$H$2:$H$148,Datos!$A$2:$A$148,$A21,Datos!$B$2:$B$148,$B$2)</f>
        <v/>
      </c>
      <c r="L21" s="11">
        <f>SUMIFS(Datos!$I$2:$I$148,Datos!$A$2:$A$148,$A21,Datos!$B$2:$B$148,$B$2)</f>
        <v/>
      </c>
      <c r="M21" s="11">
        <f>SUMIFS(Datos!$J$2:$J$148,Datos!$A$2:$A$148,$A21,Datos!$B$2:$B$148,$B$2)</f>
        <v/>
      </c>
      <c r="N21" s="11">
        <f>SUMIFS(Datos!$K$2:$K$148,Datos!$A$2:$A$148,$A21,Datos!$B$2:$B$148,$B$2)</f>
        <v/>
      </c>
      <c r="O21" s="12">
        <f>IFERROR(K21/(K21+M21),0)</f>
        <v/>
      </c>
      <c r="P21" s="12">
        <f>IFERROR(L21/(L21+N21),0)</f>
        <v/>
      </c>
      <c r="Q21" s="13">
        <f>IFERROR((L21/K21)/((L21+N21)/(K21+M21))*100,0)</f>
        <v/>
      </c>
      <c r="R21" s="14">
        <f>(P21-O21)*100</f>
        <v/>
      </c>
      <c r="S21" s="11">
        <f>SUMIFS(Datos!$L$2:$L$148,Datos!$A$2:$A$148,$A21,Datos!$B$2:$B$148,$B$2)</f>
        <v/>
      </c>
      <c r="T21" s="11">
        <f>SUMIFS(Datos!$M$2:$M$148,Datos!$A$2:$A$148,$A21,Datos!$B$2:$B$148,$B$2)</f>
        <v/>
      </c>
      <c r="U21" s="11">
        <f>SUMIFS(Datos!$N$2:$N$148,Datos!$A$2:$A$148,$A21,Datos!$B$2:$B$148,$B$2)</f>
        <v/>
      </c>
      <c r="V21" s="11">
        <f>SUMIFS(Datos!$O$2:$O$148,Datos!$A$2:$A$148,$A21,Datos!$B$2:$B$148,$B$2)</f>
        <v/>
      </c>
      <c r="W21" s="12">
        <f>IFERROR(S21/(S21+U21),0)</f>
        <v/>
      </c>
      <c r="X21" s="12">
        <f>IFERROR(T21/(T21+V21),0)</f>
        <v/>
      </c>
      <c r="Y21" s="13">
        <f>IFERROR((T21/S21)/((T21+V21)/(S21+U21))*100,0)</f>
        <v/>
      </c>
      <c r="Z21" s="14">
        <f>(X21-W21)*100</f>
        <v/>
      </c>
    </row>
    <row r="22">
      <c r="A22" s="9" t="inlineStr">
        <is>
          <t>ROXOLAN</t>
        </is>
      </c>
      <c r="B22" s="10" t="inlineStr">
        <is>
          <t>ROSUVASTATIN</t>
        </is>
      </c>
      <c r="C22" s="11">
        <f>SUMIFS(Datos!$D$2:$D$148,Datos!$A$2:$A$148,$A22,Datos!$B$2:$B$148,$B$2)</f>
        <v/>
      </c>
      <c r="D22" s="11">
        <f>SUMIFS(Datos!$E$2:$E$148,Datos!$A$2:$A$148,$A22,Datos!$B$2:$B$148,$B$2)</f>
        <v/>
      </c>
      <c r="E22" s="11">
        <f>SUMIFS(Datos!$F$2:$F$148,Datos!$A$2:$A$148,$A22,Datos!$B$2:$B$148,$B$2)</f>
        <v/>
      </c>
      <c r="F22" s="11">
        <f>SUMIFS(Datos!$G$2:$G$148,Datos!$A$2:$A$148,$A22,Datos!$B$2:$B$148,$B$2)</f>
        <v/>
      </c>
      <c r="G22" s="12">
        <f>IFERROR(C22/(C22+E22),0)</f>
        <v/>
      </c>
      <c r="H22" s="12">
        <f>IFERROR(D22/(D22+F22),0)</f>
        <v/>
      </c>
      <c r="I22" s="13">
        <f>IFERROR((D22/C22)/((D22+F22)/(C22+E22))*100,0)</f>
        <v/>
      </c>
      <c r="J22" s="14">
        <f>(H22-G22)*100</f>
        <v/>
      </c>
      <c r="K22" s="11">
        <f>SUMIFS(Datos!$H$2:$H$148,Datos!$A$2:$A$148,$A22,Datos!$B$2:$B$148,$B$2)</f>
        <v/>
      </c>
      <c r="L22" s="11">
        <f>SUMIFS(Datos!$I$2:$I$148,Datos!$A$2:$A$148,$A22,Datos!$B$2:$B$148,$B$2)</f>
        <v/>
      </c>
      <c r="M22" s="11">
        <f>SUMIFS(Datos!$J$2:$J$148,Datos!$A$2:$A$148,$A22,Datos!$B$2:$B$148,$B$2)</f>
        <v/>
      </c>
      <c r="N22" s="11">
        <f>SUMIFS(Datos!$K$2:$K$148,Datos!$A$2:$A$148,$A22,Datos!$B$2:$B$148,$B$2)</f>
        <v/>
      </c>
      <c r="O22" s="12">
        <f>IFERROR(K22/(K22+M22),0)</f>
        <v/>
      </c>
      <c r="P22" s="12">
        <f>IFERROR(L22/(L22+N22),0)</f>
        <v/>
      </c>
      <c r="Q22" s="13">
        <f>IFERROR((L22/K22)/((L22+N22)/(K22+M22))*100,0)</f>
        <v/>
      </c>
      <c r="R22" s="14">
        <f>(P22-O22)*100</f>
        <v/>
      </c>
      <c r="S22" s="11">
        <f>SUMIFS(Datos!$L$2:$L$148,Datos!$A$2:$A$148,$A22,Datos!$B$2:$B$148,$B$2)</f>
        <v/>
      </c>
      <c r="T22" s="11">
        <f>SUMIFS(Datos!$M$2:$M$148,Datos!$A$2:$A$148,$A22,Datos!$B$2:$B$148,$B$2)</f>
        <v/>
      </c>
      <c r="U22" s="11">
        <f>SUMIFS(Datos!$N$2:$N$148,Datos!$A$2:$A$148,$A22,Datos!$B$2:$B$148,$B$2)</f>
        <v/>
      </c>
      <c r="V22" s="11">
        <f>SUMIFS(Datos!$O$2:$O$148,Datos!$A$2:$A$148,$A22,Datos!$B$2:$B$148,$B$2)</f>
        <v/>
      </c>
      <c r="W22" s="12">
        <f>IFERROR(S22/(S22+U22),0)</f>
        <v/>
      </c>
      <c r="X22" s="12">
        <f>IFERROR(T22/(T22+V22),0)</f>
        <v/>
      </c>
      <c r="Y22" s="13">
        <f>IFERROR((T22/S22)/((T22+V22)/(S22+U22))*100,0)</f>
        <v/>
      </c>
      <c r="Z22" s="14">
        <f>(X22-W22)*100</f>
        <v/>
      </c>
    </row>
    <row r="23">
      <c r="A23" s="9" t="inlineStr">
        <is>
          <t>ROXOLAN PLUS</t>
        </is>
      </c>
      <c r="B23" s="10" t="inlineStr">
        <is>
          <t>EZETIMIBE_ROSUVASTATIN</t>
        </is>
      </c>
      <c r="C23" s="11">
        <f>SUMIFS(Datos!$D$2:$D$148,Datos!$A$2:$A$148,$A23,Datos!$B$2:$B$148,$B$2)</f>
        <v/>
      </c>
      <c r="D23" s="11">
        <f>SUMIFS(Datos!$E$2:$E$148,Datos!$A$2:$A$148,$A23,Datos!$B$2:$B$148,$B$2)</f>
        <v/>
      </c>
      <c r="E23" s="11">
        <f>SUMIFS(Datos!$F$2:$F$148,Datos!$A$2:$A$148,$A23,Datos!$B$2:$B$148,$B$2)</f>
        <v/>
      </c>
      <c r="F23" s="11">
        <f>SUMIFS(Datos!$G$2:$G$148,Datos!$A$2:$A$148,$A23,Datos!$B$2:$B$148,$B$2)</f>
        <v/>
      </c>
      <c r="G23" s="12">
        <f>IFERROR(C23/(C23+E23),0)</f>
        <v/>
      </c>
      <c r="H23" s="12">
        <f>IFERROR(D23/(D23+F23),0)</f>
        <v/>
      </c>
      <c r="I23" s="13">
        <f>IFERROR((D23/C23)/((D23+F23)/(C23+E23))*100,0)</f>
        <v/>
      </c>
      <c r="J23" s="14">
        <f>(H23-G23)*100</f>
        <v/>
      </c>
      <c r="K23" s="11">
        <f>SUMIFS(Datos!$H$2:$H$148,Datos!$A$2:$A$148,$A23,Datos!$B$2:$B$148,$B$2)</f>
        <v/>
      </c>
      <c r="L23" s="11">
        <f>SUMIFS(Datos!$I$2:$I$148,Datos!$A$2:$A$148,$A23,Datos!$B$2:$B$148,$B$2)</f>
        <v/>
      </c>
      <c r="M23" s="11">
        <f>SUMIFS(Datos!$J$2:$J$148,Datos!$A$2:$A$148,$A23,Datos!$B$2:$B$148,$B$2)</f>
        <v/>
      </c>
      <c r="N23" s="11">
        <f>SUMIFS(Datos!$K$2:$K$148,Datos!$A$2:$A$148,$A23,Datos!$B$2:$B$148,$B$2)</f>
        <v/>
      </c>
      <c r="O23" s="12">
        <f>IFERROR(K23/(K23+M23),0)</f>
        <v/>
      </c>
      <c r="P23" s="12">
        <f>IFERROR(L23/(L23+N23),0)</f>
        <v/>
      </c>
      <c r="Q23" s="13">
        <f>IFERROR((L23/K23)/((L23+N23)/(K23+M23))*100,0)</f>
        <v/>
      </c>
      <c r="R23" s="14">
        <f>(P23-O23)*100</f>
        <v/>
      </c>
      <c r="S23" s="11">
        <f>SUMIFS(Datos!$L$2:$L$148,Datos!$A$2:$A$148,$A23,Datos!$B$2:$B$148,$B$2)</f>
        <v/>
      </c>
      <c r="T23" s="11">
        <f>SUMIFS(Datos!$M$2:$M$148,Datos!$A$2:$A$148,$A23,Datos!$B$2:$B$148,$B$2)</f>
        <v/>
      </c>
      <c r="U23" s="11">
        <f>SUMIFS(Datos!$N$2:$N$148,Datos!$A$2:$A$148,$A23,Datos!$B$2:$B$148,$B$2)</f>
        <v/>
      </c>
      <c r="V23" s="11">
        <f>SUMIFS(Datos!$O$2:$O$148,Datos!$A$2:$A$148,$A23,Datos!$B$2:$B$148,$B$2)</f>
        <v/>
      </c>
      <c r="W23" s="12">
        <f>IFERROR(S23/(S23+U23),0)</f>
        <v/>
      </c>
      <c r="X23" s="12">
        <f>IFERROR(T23/(T23+V23),0)</f>
        <v/>
      </c>
      <c r="Y23" s="13">
        <f>IFERROR((T23/S23)/((T23+V23)/(S23+U23))*100,0)</f>
        <v/>
      </c>
      <c r="Z23" s="14">
        <f>(X23-W23)*100</f>
        <v/>
      </c>
    </row>
    <row r="24">
      <c r="A24" s="9" t="inlineStr">
        <is>
          <t>SINTROM</t>
        </is>
      </c>
      <c r="B24" s="10" t="inlineStr">
        <is>
          <t>ACENOCOUMAROL</t>
        </is>
      </c>
      <c r="C24" s="11">
        <f>SUMIFS(Datos!$D$2:$D$148,Datos!$A$2:$A$148,$A24,Datos!$B$2:$B$148,$B$2)</f>
        <v/>
      </c>
      <c r="D24" s="11">
        <f>SUMIFS(Datos!$E$2:$E$148,Datos!$A$2:$A$148,$A24,Datos!$B$2:$B$148,$B$2)</f>
        <v/>
      </c>
      <c r="E24" s="11">
        <f>SUMIFS(Datos!$F$2:$F$148,Datos!$A$2:$A$148,$A24,Datos!$B$2:$B$148,$B$2)</f>
        <v/>
      </c>
      <c r="F24" s="11">
        <f>SUMIFS(Datos!$G$2:$G$148,Datos!$A$2:$A$148,$A24,Datos!$B$2:$B$148,$B$2)</f>
        <v/>
      </c>
      <c r="G24" s="12">
        <f>IFERROR(C24/(C24+E24),0)</f>
        <v/>
      </c>
      <c r="H24" s="12">
        <f>IFERROR(D24/(D24+F24),0)</f>
        <v/>
      </c>
      <c r="I24" s="13">
        <f>IFERROR((D24/C24)/((D24+F24)/(C24+E24))*100,0)</f>
        <v/>
      </c>
      <c r="J24" s="14">
        <f>(H24-G24)*100</f>
        <v/>
      </c>
      <c r="K24" s="11">
        <f>SUMIFS(Datos!$H$2:$H$148,Datos!$A$2:$A$148,$A24,Datos!$B$2:$B$148,$B$2)</f>
        <v/>
      </c>
      <c r="L24" s="11">
        <f>SUMIFS(Datos!$I$2:$I$148,Datos!$A$2:$A$148,$A24,Datos!$B$2:$B$148,$B$2)</f>
        <v/>
      </c>
      <c r="M24" s="11">
        <f>SUMIFS(Datos!$J$2:$J$148,Datos!$A$2:$A$148,$A24,Datos!$B$2:$B$148,$B$2)</f>
        <v/>
      </c>
      <c r="N24" s="11">
        <f>SUMIFS(Datos!$K$2:$K$148,Datos!$A$2:$A$148,$A24,Datos!$B$2:$B$148,$B$2)</f>
        <v/>
      </c>
      <c r="O24" s="12">
        <f>IFERROR(K24/(K24+M24),0)</f>
        <v/>
      </c>
      <c r="P24" s="12">
        <f>IFERROR(L24/(L24+N24),0)</f>
        <v/>
      </c>
      <c r="Q24" s="13">
        <f>IFERROR((L24/K24)/((L24+N24)/(K24+M24))*100,0)</f>
        <v/>
      </c>
      <c r="R24" s="14">
        <f>(P24-O24)*100</f>
        <v/>
      </c>
      <c r="S24" s="11">
        <f>SUMIFS(Datos!$L$2:$L$148,Datos!$A$2:$A$148,$A24,Datos!$B$2:$B$148,$B$2)</f>
        <v/>
      </c>
      <c r="T24" s="11">
        <f>SUMIFS(Datos!$M$2:$M$148,Datos!$A$2:$A$148,$A24,Datos!$B$2:$B$148,$B$2)</f>
        <v/>
      </c>
      <c r="U24" s="11">
        <f>SUMIFS(Datos!$N$2:$N$148,Datos!$A$2:$A$148,$A24,Datos!$B$2:$B$148,$B$2)</f>
        <v/>
      </c>
      <c r="V24" s="11">
        <f>SUMIFS(Datos!$O$2:$O$148,Datos!$A$2:$A$148,$A24,Datos!$B$2:$B$148,$B$2)</f>
        <v/>
      </c>
      <c r="W24" s="12">
        <f>IFERROR(S24/(S24+U24),0)</f>
        <v/>
      </c>
      <c r="X24" s="12">
        <f>IFERROR(T24/(T24+V24),0)</f>
        <v/>
      </c>
      <c r="Y24" s="13">
        <f>IFERROR((T24/S24)/((T24+V24)/(S24+U24))*100,0)</f>
        <v/>
      </c>
      <c r="Z24" s="14">
        <f>(X24-W24)*100</f>
        <v/>
      </c>
    </row>
    <row r="25">
      <c r="A25" s="9" t="inlineStr">
        <is>
          <t>EMPAX</t>
        </is>
      </c>
      <c r="B25" s="10" t="inlineStr">
        <is>
          <t>EMPAGLIFLOZIN | EMPAGLIFLOZIN_METFORMIN</t>
        </is>
      </c>
      <c r="C25" s="11">
        <f>SUMIFS(Datos!$D$2:$D$148,Datos!$A$2:$A$148,$A25,Datos!$B$2:$B$148,$B$2)</f>
        <v/>
      </c>
      <c r="D25" s="11">
        <f>SUMIFS(Datos!$E$2:$E$148,Datos!$A$2:$A$148,$A25,Datos!$B$2:$B$148,$B$2)</f>
        <v/>
      </c>
      <c r="E25" s="11">
        <f>SUMIFS(Datos!$F$2:$F$148,Datos!$A$2:$A$148,$A25,Datos!$B$2:$B$148,$B$2)</f>
        <v/>
      </c>
      <c r="F25" s="11">
        <f>SUMIFS(Datos!$G$2:$G$148,Datos!$A$2:$A$148,$A25,Datos!$B$2:$B$148,$B$2)</f>
        <v/>
      </c>
      <c r="G25" s="12">
        <f>IFERROR(C25/(C25+E25),0)</f>
        <v/>
      </c>
      <c r="H25" s="12">
        <f>IFERROR(D25/(D25+F25),0)</f>
        <v/>
      </c>
      <c r="I25" s="13">
        <f>IFERROR((D25/C25)/((D25+F25)/(C25+E25))*100,0)</f>
        <v/>
      </c>
      <c r="J25" s="14">
        <f>(H25-G25)*100</f>
        <v/>
      </c>
      <c r="K25" s="11">
        <f>SUMIFS(Datos!$H$2:$H$148,Datos!$A$2:$A$148,$A25,Datos!$B$2:$B$148,$B$2)</f>
        <v/>
      </c>
      <c r="L25" s="11">
        <f>SUMIFS(Datos!$I$2:$I$148,Datos!$A$2:$A$148,$A25,Datos!$B$2:$B$148,$B$2)</f>
        <v/>
      </c>
      <c r="M25" s="11">
        <f>SUMIFS(Datos!$J$2:$J$148,Datos!$A$2:$A$148,$A25,Datos!$B$2:$B$148,$B$2)</f>
        <v/>
      </c>
      <c r="N25" s="11">
        <f>SUMIFS(Datos!$K$2:$K$148,Datos!$A$2:$A$148,$A25,Datos!$B$2:$B$148,$B$2)</f>
        <v/>
      </c>
      <c r="O25" s="12">
        <f>IFERROR(K25/(K25+M25),0)</f>
        <v/>
      </c>
      <c r="P25" s="12">
        <f>IFERROR(L25/(L25+N25),0)</f>
        <v/>
      </c>
      <c r="Q25" s="13">
        <f>IFERROR((L25/K25)/((L25+N25)/(K25+M25))*100,0)</f>
        <v/>
      </c>
      <c r="R25" s="14">
        <f>(P25-O25)*100</f>
        <v/>
      </c>
      <c r="S25" s="11">
        <f>SUMIFS(Datos!$L$2:$L$148,Datos!$A$2:$A$148,$A25,Datos!$B$2:$B$148,$B$2)</f>
        <v/>
      </c>
      <c r="T25" s="11">
        <f>SUMIFS(Datos!$M$2:$M$148,Datos!$A$2:$A$148,$A25,Datos!$B$2:$B$148,$B$2)</f>
        <v/>
      </c>
      <c r="U25" s="11">
        <f>SUMIFS(Datos!$N$2:$N$148,Datos!$A$2:$A$148,$A25,Datos!$B$2:$B$148,$B$2)</f>
        <v/>
      </c>
      <c r="V25" s="11">
        <f>SUMIFS(Datos!$O$2:$O$148,Datos!$A$2:$A$148,$A25,Datos!$B$2:$B$148,$B$2)</f>
        <v/>
      </c>
      <c r="W25" s="12">
        <f>IFERROR(S25/(S25+U25),0)</f>
        <v/>
      </c>
      <c r="X25" s="12">
        <f>IFERROR(T25/(T25+V25),0)</f>
        <v/>
      </c>
      <c r="Y25" s="13">
        <f>IFERROR((T25/S25)/((T25+V25)/(S25+U25))*100,0)</f>
        <v/>
      </c>
      <c r="Z25" s="14">
        <f>(X25-W25)*100</f>
        <v/>
      </c>
    </row>
    <row r="26">
      <c r="A26" s="9" t="inlineStr">
        <is>
          <t>SILTRAN</t>
        </is>
      </c>
      <c r="B26" s="10" t="inlineStr">
        <is>
          <t>METFORMIN_SITAGLIPTIN | SITAGLIPTIN</t>
        </is>
      </c>
      <c r="C26" s="11">
        <f>SUMIFS(Datos!$D$2:$D$148,Datos!$A$2:$A$148,$A26,Datos!$B$2:$B$148,$B$2)</f>
        <v/>
      </c>
      <c r="D26" s="11">
        <f>SUMIFS(Datos!$E$2:$E$148,Datos!$A$2:$A$148,$A26,Datos!$B$2:$B$148,$B$2)</f>
        <v/>
      </c>
      <c r="E26" s="11">
        <f>SUMIFS(Datos!$F$2:$F$148,Datos!$A$2:$A$148,$A26,Datos!$B$2:$B$148,$B$2)</f>
        <v/>
      </c>
      <c r="F26" s="11">
        <f>SUMIFS(Datos!$G$2:$G$148,Datos!$A$2:$A$148,$A26,Datos!$B$2:$B$148,$B$2)</f>
        <v/>
      </c>
      <c r="G26" s="12">
        <f>IFERROR(C26/(C26+E26),0)</f>
        <v/>
      </c>
      <c r="H26" s="12">
        <f>IFERROR(D26/(D26+F26),0)</f>
        <v/>
      </c>
      <c r="I26" s="13">
        <f>IFERROR((D26/C26)/((D26+F26)/(C26+E26))*100,0)</f>
        <v/>
      </c>
      <c r="J26" s="14">
        <f>(H26-G26)*100</f>
        <v/>
      </c>
      <c r="K26" s="11">
        <f>SUMIFS(Datos!$H$2:$H$148,Datos!$A$2:$A$148,$A26,Datos!$B$2:$B$148,$B$2)</f>
        <v/>
      </c>
      <c r="L26" s="11">
        <f>SUMIFS(Datos!$I$2:$I$148,Datos!$A$2:$A$148,$A26,Datos!$B$2:$B$148,$B$2)</f>
        <v/>
      </c>
      <c r="M26" s="11">
        <f>SUMIFS(Datos!$J$2:$J$148,Datos!$A$2:$A$148,$A26,Datos!$B$2:$B$148,$B$2)</f>
        <v/>
      </c>
      <c r="N26" s="11">
        <f>SUMIFS(Datos!$K$2:$K$148,Datos!$A$2:$A$148,$A26,Datos!$B$2:$B$148,$B$2)</f>
        <v/>
      </c>
      <c r="O26" s="12">
        <f>IFERROR(K26/(K26+M26),0)</f>
        <v/>
      </c>
      <c r="P26" s="12">
        <f>IFERROR(L26/(L26+N26),0)</f>
        <v/>
      </c>
      <c r="Q26" s="13">
        <f>IFERROR((L26/K26)/((L26+N26)/(K26+M26))*100,0)</f>
        <v/>
      </c>
      <c r="R26" s="14">
        <f>(P26-O26)*100</f>
        <v/>
      </c>
      <c r="S26" s="11">
        <f>SUMIFS(Datos!$L$2:$L$148,Datos!$A$2:$A$148,$A26,Datos!$B$2:$B$148,$B$2)</f>
        <v/>
      </c>
      <c r="T26" s="11">
        <f>SUMIFS(Datos!$M$2:$M$148,Datos!$A$2:$A$148,$A26,Datos!$B$2:$B$148,$B$2)</f>
        <v/>
      </c>
      <c r="U26" s="11">
        <f>SUMIFS(Datos!$N$2:$N$148,Datos!$A$2:$A$148,$A26,Datos!$B$2:$B$148,$B$2)</f>
        <v/>
      </c>
      <c r="V26" s="11">
        <f>SUMIFS(Datos!$O$2:$O$148,Datos!$A$2:$A$148,$A26,Datos!$B$2:$B$148,$B$2)</f>
        <v/>
      </c>
      <c r="W26" s="12">
        <f>IFERROR(S26/(S26+U26),0)</f>
        <v/>
      </c>
      <c r="X26" s="12">
        <f>IFERROR(T26/(T26+V26),0)</f>
        <v/>
      </c>
      <c r="Y26" s="13">
        <f>IFERROR((T26/S26)/((T26+V26)/(S26+U26))*100,0)</f>
        <v/>
      </c>
      <c r="Z26" s="14">
        <f>(X26-W26)*100</f>
        <v/>
      </c>
    </row>
    <row r="27">
      <c r="A27" s="9" t="inlineStr">
        <is>
          <t>METGLUCON</t>
        </is>
      </c>
      <c r="B27" s="10" t="inlineStr">
        <is>
          <t>GLIBENCLAMIDE_METFORMIN | METFORMIN</t>
        </is>
      </c>
      <c r="C27" s="11">
        <f>SUMIFS(Datos!$D$2:$D$148,Datos!$A$2:$A$148,$A27,Datos!$B$2:$B$148,$B$2)</f>
        <v/>
      </c>
      <c r="D27" s="11">
        <f>SUMIFS(Datos!$E$2:$E$148,Datos!$A$2:$A$148,$A27,Datos!$B$2:$B$148,$B$2)</f>
        <v/>
      </c>
      <c r="E27" s="11">
        <f>SUMIFS(Datos!$F$2:$F$148,Datos!$A$2:$A$148,$A27,Datos!$B$2:$B$148,$B$2)</f>
        <v/>
      </c>
      <c r="F27" s="11">
        <f>SUMIFS(Datos!$G$2:$G$148,Datos!$A$2:$A$148,$A27,Datos!$B$2:$B$148,$B$2)</f>
        <v/>
      </c>
      <c r="G27" s="12">
        <f>IFERROR(C27/(C27+E27),0)</f>
        <v/>
      </c>
      <c r="H27" s="12">
        <f>IFERROR(D27/(D27+F27),0)</f>
        <v/>
      </c>
      <c r="I27" s="13">
        <f>IFERROR((D27/C27)/((D27+F27)/(C27+E27))*100,0)</f>
        <v/>
      </c>
      <c r="J27" s="14">
        <f>(H27-G27)*100</f>
        <v/>
      </c>
      <c r="K27" s="11">
        <f>SUMIFS(Datos!$H$2:$H$148,Datos!$A$2:$A$148,$A27,Datos!$B$2:$B$148,$B$2)</f>
        <v/>
      </c>
      <c r="L27" s="11">
        <f>SUMIFS(Datos!$I$2:$I$148,Datos!$A$2:$A$148,$A27,Datos!$B$2:$B$148,$B$2)</f>
        <v/>
      </c>
      <c r="M27" s="11">
        <f>SUMIFS(Datos!$J$2:$J$148,Datos!$A$2:$A$148,$A27,Datos!$B$2:$B$148,$B$2)</f>
        <v/>
      </c>
      <c r="N27" s="11">
        <f>SUMIFS(Datos!$K$2:$K$148,Datos!$A$2:$A$148,$A27,Datos!$B$2:$B$148,$B$2)</f>
        <v/>
      </c>
      <c r="O27" s="12">
        <f>IFERROR(K27/(K27+M27),0)</f>
        <v/>
      </c>
      <c r="P27" s="12">
        <f>IFERROR(L27/(L27+N27),0)</f>
        <v/>
      </c>
      <c r="Q27" s="13">
        <f>IFERROR((L27/K27)/((L27+N27)/(K27+M27))*100,0)</f>
        <v/>
      </c>
      <c r="R27" s="14">
        <f>(P27-O27)*100</f>
        <v/>
      </c>
      <c r="S27" s="11">
        <f>SUMIFS(Datos!$L$2:$L$148,Datos!$A$2:$A$148,$A27,Datos!$B$2:$B$148,$B$2)</f>
        <v/>
      </c>
      <c r="T27" s="11">
        <f>SUMIFS(Datos!$M$2:$M$148,Datos!$A$2:$A$148,$A27,Datos!$B$2:$B$148,$B$2)</f>
        <v/>
      </c>
      <c r="U27" s="11">
        <f>SUMIFS(Datos!$N$2:$N$148,Datos!$A$2:$A$148,$A27,Datos!$B$2:$B$148,$B$2)</f>
        <v/>
      </c>
      <c r="V27" s="11">
        <f>SUMIFS(Datos!$O$2:$O$148,Datos!$A$2:$A$148,$A27,Datos!$B$2:$B$148,$B$2)</f>
        <v/>
      </c>
      <c r="W27" s="12">
        <f>IFERROR(S27/(S27+U27),0)</f>
        <v/>
      </c>
      <c r="X27" s="12">
        <f>IFERROR(T27/(T27+V27),0)</f>
        <v/>
      </c>
      <c r="Y27" s="13">
        <f>IFERROR((T27/S27)/((T27+V27)/(S27+U27))*100,0)</f>
        <v/>
      </c>
      <c r="Z27" s="14">
        <f>(X27-W27)*100</f>
        <v/>
      </c>
    </row>
    <row r="28">
      <c r="A28" s="9" t="inlineStr">
        <is>
          <t>TERLOC</t>
        </is>
      </c>
      <c r="B28" s="10" t="inlineStr">
        <is>
          <t>AMLODIPINE | AMLODIPINE_BENAZEPRIL</t>
        </is>
      </c>
      <c r="C28" s="11">
        <f>SUMIFS(Datos!$D$2:$D$148,Datos!$A$2:$A$148,$A28,Datos!$B$2:$B$148,$B$2)</f>
        <v/>
      </c>
      <c r="D28" s="11">
        <f>SUMIFS(Datos!$E$2:$E$148,Datos!$A$2:$A$148,$A28,Datos!$B$2:$B$148,$B$2)</f>
        <v/>
      </c>
      <c r="E28" s="11">
        <f>SUMIFS(Datos!$F$2:$F$148,Datos!$A$2:$A$148,$A28,Datos!$B$2:$B$148,$B$2)</f>
        <v/>
      </c>
      <c r="F28" s="11">
        <f>SUMIFS(Datos!$G$2:$G$148,Datos!$A$2:$A$148,$A28,Datos!$B$2:$B$148,$B$2)</f>
        <v/>
      </c>
      <c r="G28" s="12">
        <f>IFERROR(C28/(C28+E28),0)</f>
        <v/>
      </c>
      <c r="H28" s="12">
        <f>IFERROR(D28/(D28+F28),0)</f>
        <v/>
      </c>
      <c r="I28" s="13">
        <f>IFERROR((D28/C28)/((D28+F28)/(C28+E28))*100,0)</f>
        <v/>
      </c>
      <c r="J28" s="14">
        <f>(H28-G28)*100</f>
        <v/>
      </c>
      <c r="K28" s="11">
        <f>SUMIFS(Datos!$H$2:$H$148,Datos!$A$2:$A$148,$A28,Datos!$B$2:$B$148,$B$2)</f>
        <v/>
      </c>
      <c r="L28" s="11">
        <f>SUMIFS(Datos!$I$2:$I$148,Datos!$A$2:$A$148,$A28,Datos!$B$2:$B$148,$B$2)</f>
        <v/>
      </c>
      <c r="M28" s="11">
        <f>SUMIFS(Datos!$J$2:$J$148,Datos!$A$2:$A$148,$A28,Datos!$B$2:$B$148,$B$2)</f>
        <v/>
      </c>
      <c r="N28" s="11">
        <f>SUMIFS(Datos!$K$2:$K$148,Datos!$A$2:$A$148,$A28,Datos!$B$2:$B$148,$B$2)</f>
        <v/>
      </c>
      <c r="O28" s="12">
        <f>IFERROR(K28/(K28+M28),0)</f>
        <v/>
      </c>
      <c r="P28" s="12">
        <f>IFERROR(L28/(L28+N28),0)</f>
        <v/>
      </c>
      <c r="Q28" s="13">
        <f>IFERROR((L28/K28)/((L28+N28)/(K28+M28))*100,0)</f>
        <v/>
      </c>
      <c r="R28" s="14">
        <f>(P28-O28)*100</f>
        <v/>
      </c>
      <c r="S28" s="11">
        <f>SUMIFS(Datos!$L$2:$L$148,Datos!$A$2:$A$148,$A28,Datos!$B$2:$B$148,$B$2)</f>
        <v/>
      </c>
      <c r="T28" s="11">
        <f>SUMIFS(Datos!$M$2:$M$148,Datos!$A$2:$A$148,$A28,Datos!$B$2:$B$148,$B$2)</f>
        <v/>
      </c>
      <c r="U28" s="11">
        <f>SUMIFS(Datos!$N$2:$N$148,Datos!$A$2:$A$148,$A28,Datos!$B$2:$B$148,$B$2)</f>
        <v/>
      </c>
      <c r="V28" s="11">
        <f>SUMIFS(Datos!$O$2:$O$148,Datos!$A$2:$A$148,$A28,Datos!$B$2:$B$148,$B$2)</f>
        <v/>
      </c>
      <c r="W28" s="12">
        <f>IFERROR(S28/(S28+U28),0)</f>
        <v/>
      </c>
      <c r="X28" s="12">
        <f>IFERROR(T28/(T28+V28),0)</f>
        <v/>
      </c>
      <c r="Y28" s="13">
        <f>IFERROR((T28/S28)/((T28+V28)/(S28+U28))*100,0)</f>
        <v/>
      </c>
      <c r="Z28" s="14">
        <f>(X28-W28)*100</f>
        <v/>
      </c>
    </row>
    <row r="29">
      <c r="A29" s="9" t="inlineStr">
        <is>
          <t>DIOVAN</t>
        </is>
      </c>
      <c r="B29" s="10" t="inlineStr">
        <is>
          <t>HYDROCHLOROTHIAZIDE_VALSARTAN | VALSARTAN</t>
        </is>
      </c>
      <c r="C29" s="11">
        <f>SUMIFS(Datos!$D$2:$D$148,Datos!$A$2:$A$148,$A29,Datos!$B$2:$B$148,$B$2)</f>
        <v/>
      </c>
      <c r="D29" s="11">
        <f>SUMIFS(Datos!$E$2:$E$148,Datos!$A$2:$A$148,$A29,Datos!$B$2:$B$148,$B$2)</f>
        <v/>
      </c>
      <c r="E29" s="11">
        <f>SUMIFS(Datos!$F$2:$F$148,Datos!$A$2:$A$148,$A29,Datos!$B$2:$B$148,$B$2)</f>
        <v/>
      </c>
      <c r="F29" s="11">
        <f>SUMIFS(Datos!$G$2:$G$148,Datos!$A$2:$A$148,$A29,Datos!$B$2:$B$148,$B$2)</f>
        <v/>
      </c>
      <c r="G29" s="12">
        <f>IFERROR(C29/(C29+E29),0)</f>
        <v/>
      </c>
      <c r="H29" s="12">
        <f>IFERROR(D29/(D29+F29),0)</f>
        <v/>
      </c>
      <c r="I29" s="13">
        <f>IFERROR((D29/C29)/((D29+F29)/(C29+E29))*100,0)</f>
        <v/>
      </c>
      <c r="J29" s="14">
        <f>(H29-G29)*100</f>
        <v/>
      </c>
      <c r="K29" s="11">
        <f>SUMIFS(Datos!$H$2:$H$148,Datos!$A$2:$A$148,$A29,Datos!$B$2:$B$148,$B$2)</f>
        <v/>
      </c>
      <c r="L29" s="11">
        <f>SUMIFS(Datos!$I$2:$I$148,Datos!$A$2:$A$148,$A29,Datos!$B$2:$B$148,$B$2)</f>
        <v/>
      </c>
      <c r="M29" s="11">
        <f>SUMIFS(Datos!$J$2:$J$148,Datos!$A$2:$A$148,$A29,Datos!$B$2:$B$148,$B$2)</f>
        <v/>
      </c>
      <c r="N29" s="11">
        <f>SUMIFS(Datos!$K$2:$K$148,Datos!$A$2:$A$148,$A29,Datos!$B$2:$B$148,$B$2)</f>
        <v/>
      </c>
      <c r="O29" s="12">
        <f>IFERROR(K29/(K29+M29),0)</f>
        <v/>
      </c>
      <c r="P29" s="12">
        <f>IFERROR(L29/(L29+N29),0)</f>
        <v/>
      </c>
      <c r="Q29" s="13">
        <f>IFERROR((L29/K29)/((L29+N29)/(K29+M29))*100,0)</f>
        <v/>
      </c>
      <c r="R29" s="14">
        <f>(P29-O29)*100</f>
        <v/>
      </c>
      <c r="S29" s="11">
        <f>SUMIFS(Datos!$L$2:$L$148,Datos!$A$2:$A$148,$A29,Datos!$B$2:$B$148,$B$2)</f>
        <v/>
      </c>
      <c r="T29" s="11">
        <f>SUMIFS(Datos!$M$2:$M$148,Datos!$A$2:$A$148,$A29,Datos!$B$2:$B$148,$B$2)</f>
        <v/>
      </c>
      <c r="U29" s="11">
        <f>SUMIFS(Datos!$N$2:$N$148,Datos!$A$2:$A$148,$A29,Datos!$B$2:$B$148,$B$2)</f>
        <v/>
      </c>
      <c r="V29" s="11">
        <f>SUMIFS(Datos!$O$2:$O$148,Datos!$A$2:$A$148,$A29,Datos!$B$2:$B$148,$B$2)</f>
        <v/>
      </c>
      <c r="W29" s="12">
        <f>IFERROR(S29/(S29+U29),0)</f>
        <v/>
      </c>
      <c r="X29" s="12">
        <f>IFERROR(T29/(T29+V29),0)</f>
        <v/>
      </c>
      <c r="Y29" s="13">
        <f>IFERROR((T29/S29)/((T29+V29)/(S29+U29))*100,0)</f>
        <v/>
      </c>
      <c r="Z29" s="14">
        <f>(X29-W29)*100</f>
        <v/>
      </c>
    </row>
    <row r="30">
      <c r="A30" s="9" t="inlineStr">
        <is>
          <t>TELPRES</t>
        </is>
      </c>
      <c r="B30" s="10" t="inlineStr">
        <is>
          <t>TELMISARTAN</t>
        </is>
      </c>
      <c r="C30" s="11">
        <f>SUMIFS(Datos!$D$2:$D$148,Datos!$A$2:$A$148,$A30,Datos!$B$2:$B$148,$B$2)</f>
        <v/>
      </c>
      <c r="D30" s="11">
        <f>SUMIFS(Datos!$E$2:$E$148,Datos!$A$2:$A$148,$A30,Datos!$B$2:$B$148,$B$2)</f>
        <v/>
      </c>
      <c r="E30" s="11">
        <f>SUMIFS(Datos!$F$2:$F$148,Datos!$A$2:$A$148,$A30,Datos!$B$2:$B$148,$B$2)</f>
        <v/>
      </c>
      <c r="F30" s="11">
        <f>SUMIFS(Datos!$G$2:$G$148,Datos!$A$2:$A$148,$A30,Datos!$B$2:$B$148,$B$2)</f>
        <v/>
      </c>
      <c r="G30" s="12">
        <f>IFERROR(C30/(C30+E30),0)</f>
        <v/>
      </c>
      <c r="H30" s="12">
        <f>IFERROR(D30/(D30+F30),0)</f>
        <v/>
      </c>
      <c r="I30" s="13">
        <f>IFERROR((D30/C30)/((D30+F30)/(C30+E30))*100,0)</f>
        <v/>
      </c>
      <c r="J30" s="14">
        <f>(H30-G30)*100</f>
        <v/>
      </c>
      <c r="K30" s="11">
        <f>SUMIFS(Datos!$H$2:$H$148,Datos!$A$2:$A$148,$A30,Datos!$B$2:$B$148,$B$2)</f>
        <v/>
      </c>
      <c r="L30" s="11">
        <f>SUMIFS(Datos!$I$2:$I$148,Datos!$A$2:$A$148,$A30,Datos!$B$2:$B$148,$B$2)</f>
        <v/>
      </c>
      <c r="M30" s="11">
        <f>SUMIFS(Datos!$J$2:$J$148,Datos!$A$2:$A$148,$A30,Datos!$B$2:$B$148,$B$2)</f>
        <v/>
      </c>
      <c r="N30" s="11">
        <f>SUMIFS(Datos!$K$2:$K$148,Datos!$A$2:$A$148,$A30,Datos!$B$2:$B$148,$B$2)</f>
        <v/>
      </c>
      <c r="O30" s="12">
        <f>IFERROR(K30/(K30+M30),0)</f>
        <v/>
      </c>
      <c r="P30" s="12">
        <f>IFERROR(L30/(L30+N30),0)</f>
        <v/>
      </c>
      <c r="Q30" s="13">
        <f>IFERROR((L30/K30)/((L30+N30)/(K30+M30))*100,0)</f>
        <v/>
      </c>
      <c r="R30" s="14">
        <f>(P30-O30)*100</f>
        <v/>
      </c>
      <c r="S30" s="11">
        <f>SUMIFS(Datos!$L$2:$L$148,Datos!$A$2:$A$148,$A30,Datos!$B$2:$B$148,$B$2)</f>
        <v/>
      </c>
      <c r="T30" s="11">
        <f>SUMIFS(Datos!$M$2:$M$148,Datos!$A$2:$A$148,$A30,Datos!$B$2:$B$148,$B$2)</f>
        <v/>
      </c>
      <c r="U30" s="11">
        <f>SUMIFS(Datos!$N$2:$N$148,Datos!$A$2:$A$148,$A30,Datos!$B$2:$B$148,$B$2)</f>
        <v/>
      </c>
      <c r="V30" s="11">
        <f>SUMIFS(Datos!$O$2:$O$148,Datos!$A$2:$A$148,$A30,Datos!$B$2:$B$148,$B$2)</f>
        <v/>
      </c>
      <c r="W30" s="12">
        <f>IFERROR(S30/(S30+U30),0)</f>
        <v/>
      </c>
      <c r="X30" s="12">
        <f>IFERROR(T30/(T30+V30),0)</f>
        <v/>
      </c>
      <c r="Y30" s="13">
        <f>IFERROR((T30/S30)/((T30+V30)/(S30+U30))*100,0)</f>
        <v/>
      </c>
      <c r="Z30" s="14">
        <f>(X30-W30)*100</f>
        <v/>
      </c>
    </row>
    <row r="31">
      <c r="A31" s="9" t="inlineStr">
        <is>
          <t>DAURAN</t>
        </is>
      </c>
      <c r="B31" s="10" t="inlineStr">
        <is>
          <t>DAPAGLIFLOZIN</t>
        </is>
      </c>
      <c r="C31" s="11">
        <f>SUMIFS(Datos!$D$2:$D$148,Datos!$A$2:$A$148,$A31,Datos!$B$2:$B$148,$B$2)</f>
        <v/>
      </c>
      <c r="D31" s="11">
        <f>SUMIFS(Datos!$E$2:$E$148,Datos!$A$2:$A$148,$A31,Datos!$B$2:$B$148,$B$2)</f>
        <v/>
      </c>
      <c r="E31" s="11">
        <f>SUMIFS(Datos!$F$2:$F$148,Datos!$A$2:$A$148,$A31,Datos!$B$2:$B$148,$B$2)</f>
        <v/>
      </c>
      <c r="F31" s="11">
        <f>SUMIFS(Datos!$G$2:$G$148,Datos!$A$2:$A$148,$A31,Datos!$B$2:$B$148,$B$2)</f>
        <v/>
      </c>
      <c r="G31" s="12">
        <f>IFERROR(C31/(C31+E31),0)</f>
        <v/>
      </c>
      <c r="H31" s="12">
        <f>IFERROR(D31/(D31+F31),0)</f>
        <v/>
      </c>
      <c r="I31" s="13">
        <f>IFERROR((D31/C31)/((D31+F31)/(C31+E31))*100,0)</f>
        <v/>
      </c>
      <c r="J31" s="14">
        <f>(H31-G31)*100</f>
        <v/>
      </c>
      <c r="K31" s="11">
        <f>SUMIFS(Datos!$H$2:$H$148,Datos!$A$2:$A$148,$A31,Datos!$B$2:$B$148,$B$2)</f>
        <v/>
      </c>
      <c r="L31" s="11">
        <f>SUMIFS(Datos!$I$2:$I$148,Datos!$A$2:$A$148,$A31,Datos!$B$2:$B$148,$B$2)</f>
        <v/>
      </c>
      <c r="M31" s="11">
        <f>SUMIFS(Datos!$J$2:$J$148,Datos!$A$2:$A$148,$A31,Datos!$B$2:$B$148,$B$2)</f>
        <v/>
      </c>
      <c r="N31" s="11">
        <f>SUMIFS(Datos!$K$2:$K$148,Datos!$A$2:$A$148,$A31,Datos!$B$2:$B$148,$B$2)</f>
        <v/>
      </c>
      <c r="O31" s="12">
        <f>IFERROR(K31/(K31+M31),0)</f>
        <v/>
      </c>
      <c r="P31" s="12">
        <f>IFERROR(L31/(L31+N31),0)</f>
        <v/>
      </c>
      <c r="Q31" s="13">
        <f>IFERROR((L31/K31)/((L31+N31)/(K31+M31))*100,0)</f>
        <v/>
      </c>
      <c r="R31" s="14">
        <f>(P31-O31)*100</f>
        <v/>
      </c>
      <c r="S31" s="11">
        <f>SUMIFS(Datos!$L$2:$L$148,Datos!$A$2:$A$148,$A31,Datos!$B$2:$B$148,$B$2)</f>
        <v/>
      </c>
      <c r="T31" s="11">
        <f>SUMIFS(Datos!$M$2:$M$148,Datos!$A$2:$A$148,$A31,Datos!$B$2:$B$148,$B$2)</f>
        <v/>
      </c>
      <c r="U31" s="11">
        <f>SUMIFS(Datos!$N$2:$N$148,Datos!$A$2:$A$148,$A31,Datos!$B$2:$B$148,$B$2)</f>
        <v/>
      </c>
      <c r="V31" s="11">
        <f>SUMIFS(Datos!$O$2:$O$148,Datos!$A$2:$A$148,$A31,Datos!$B$2:$B$148,$B$2)</f>
        <v/>
      </c>
      <c r="W31" s="12">
        <f>IFERROR(S31/(S31+U31),0)</f>
        <v/>
      </c>
      <c r="X31" s="12">
        <f>IFERROR(T31/(T31+V31),0)</f>
        <v/>
      </c>
      <c r="Y31" s="13">
        <f>IFERROR((T31/S31)/((T31+V31)/(S31+U31))*100,0)</f>
        <v/>
      </c>
      <c r="Z31" s="14">
        <f>(X31-W31)*100</f>
        <v/>
      </c>
    </row>
    <row r="32">
      <c r="A32" s="9" t="inlineStr">
        <is>
          <t>PIXABAN</t>
        </is>
      </c>
      <c r="B32" s="10" t="inlineStr">
        <is>
          <t>APIXABAN</t>
        </is>
      </c>
      <c r="C32" s="11">
        <f>SUMIFS(Datos!$D$2:$D$148,Datos!$A$2:$A$148,$A32,Datos!$B$2:$B$148,$B$2)</f>
        <v/>
      </c>
      <c r="D32" s="11">
        <f>SUMIFS(Datos!$E$2:$E$148,Datos!$A$2:$A$148,$A32,Datos!$B$2:$B$148,$B$2)</f>
        <v/>
      </c>
      <c r="E32" s="11">
        <f>SUMIFS(Datos!$F$2:$F$148,Datos!$A$2:$A$148,$A32,Datos!$B$2:$B$148,$B$2)</f>
        <v/>
      </c>
      <c r="F32" s="11">
        <f>SUMIFS(Datos!$G$2:$G$148,Datos!$A$2:$A$148,$A32,Datos!$B$2:$B$148,$B$2)</f>
        <v/>
      </c>
      <c r="G32" s="12">
        <f>IFERROR(C32/(C32+E32),0)</f>
        <v/>
      </c>
      <c r="H32" s="12">
        <f>IFERROR(D32/(D32+F32),0)</f>
        <v/>
      </c>
      <c r="I32" s="13">
        <f>IFERROR((D32/C32)/((D32+F32)/(C32+E32))*100,0)</f>
        <v/>
      </c>
      <c r="J32" s="14">
        <f>(H32-G32)*100</f>
        <v/>
      </c>
      <c r="K32" s="11">
        <f>SUMIFS(Datos!$H$2:$H$148,Datos!$A$2:$A$148,$A32,Datos!$B$2:$B$148,$B$2)</f>
        <v/>
      </c>
      <c r="L32" s="11">
        <f>SUMIFS(Datos!$I$2:$I$148,Datos!$A$2:$A$148,$A32,Datos!$B$2:$B$148,$B$2)</f>
        <v/>
      </c>
      <c r="M32" s="11">
        <f>SUMIFS(Datos!$J$2:$J$148,Datos!$A$2:$A$148,$A32,Datos!$B$2:$B$148,$B$2)</f>
        <v/>
      </c>
      <c r="N32" s="11">
        <f>SUMIFS(Datos!$K$2:$K$148,Datos!$A$2:$A$148,$A32,Datos!$B$2:$B$148,$B$2)</f>
        <v/>
      </c>
      <c r="O32" s="12">
        <f>IFERROR(K32/(K32+M32),0)</f>
        <v/>
      </c>
      <c r="P32" s="12">
        <f>IFERROR(L32/(L32+N32),0)</f>
        <v/>
      </c>
      <c r="Q32" s="13">
        <f>IFERROR((L32/K32)/((L32+N32)/(K32+M32))*100,0)</f>
        <v/>
      </c>
      <c r="R32" s="14">
        <f>(P32-O32)*100</f>
        <v/>
      </c>
      <c r="S32" s="11">
        <f>SUMIFS(Datos!$L$2:$L$148,Datos!$A$2:$A$148,$A32,Datos!$B$2:$B$148,$B$2)</f>
        <v/>
      </c>
      <c r="T32" s="11">
        <f>SUMIFS(Datos!$M$2:$M$148,Datos!$A$2:$A$148,$A32,Datos!$B$2:$B$148,$B$2)</f>
        <v/>
      </c>
      <c r="U32" s="11">
        <f>SUMIFS(Datos!$N$2:$N$148,Datos!$A$2:$A$148,$A32,Datos!$B$2:$B$148,$B$2)</f>
        <v/>
      </c>
      <c r="V32" s="11">
        <f>SUMIFS(Datos!$O$2:$O$148,Datos!$A$2:$A$148,$A32,Datos!$B$2:$B$148,$B$2)</f>
        <v/>
      </c>
      <c r="W32" s="12">
        <f>IFERROR(S32/(S32+U32),0)</f>
        <v/>
      </c>
      <c r="X32" s="12">
        <f>IFERROR(T32/(T32+V32),0)</f>
        <v/>
      </c>
      <c r="Y32" s="13">
        <f>IFERROR((T32/S32)/((T32+V32)/(S32+U32))*100,0)</f>
        <v/>
      </c>
      <c r="Z32" s="14">
        <f>(X32-W32)*100</f>
        <v/>
      </c>
    </row>
    <row r="33">
      <c r="A33" s="9" t="inlineStr">
        <is>
          <t>LEVITAL</t>
        </is>
      </c>
      <c r="B33" s="10" t="inlineStr">
        <is>
          <t>LEVETIRACETAM</t>
        </is>
      </c>
      <c r="C33" s="11">
        <f>SUMIFS(Datos!$D$2:$D$148,Datos!$A$2:$A$148,$A33,Datos!$B$2:$B$148,$B$2)</f>
        <v/>
      </c>
      <c r="D33" s="11">
        <f>SUMIFS(Datos!$E$2:$E$148,Datos!$A$2:$A$148,$A33,Datos!$B$2:$B$148,$B$2)</f>
        <v/>
      </c>
      <c r="E33" s="11">
        <f>SUMIFS(Datos!$F$2:$F$148,Datos!$A$2:$A$148,$A33,Datos!$B$2:$B$148,$B$2)</f>
        <v/>
      </c>
      <c r="F33" s="11">
        <f>SUMIFS(Datos!$G$2:$G$148,Datos!$A$2:$A$148,$A33,Datos!$B$2:$B$148,$B$2)</f>
        <v/>
      </c>
      <c r="G33" s="12">
        <f>IFERROR(C33/(C33+E33),0)</f>
        <v/>
      </c>
      <c r="H33" s="12">
        <f>IFERROR(D33/(D33+F33),0)</f>
        <v/>
      </c>
      <c r="I33" s="13">
        <f>IFERROR((D33/C33)/((D33+F33)/(C33+E33))*100,0)</f>
        <v/>
      </c>
      <c r="J33" s="14">
        <f>(H33-G33)*100</f>
        <v/>
      </c>
      <c r="K33" s="11">
        <f>SUMIFS(Datos!$H$2:$H$148,Datos!$A$2:$A$148,$A33,Datos!$B$2:$B$148,$B$2)</f>
        <v/>
      </c>
      <c r="L33" s="11">
        <f>SUMIFS(Datos!$I$2:$I$148,Datos!$A$2:$A$148,$A33,Datos!$B$2:$B$148,$B$2)</f>
        <v/>
      </c>
      <c r="M33" s="11">
        <f>SUMIFS(Datos!$J$2:$J$148,Datos!$A$2:$A$148,$A33,Datos!$B$2:$B$148,$B$2)</f>
        <v/>
      </c>
      <c r="N33" s="11">
        <f>SUMIFS(Datos!$K$2:$K$148,Datos!$A$2:$A$148,$A33,Datos!$B$2:$B$148,$B$2)</f>
        <v/>
      </c>
      <c r="O33" s="12">
        <f>IFERROR(K33/(K33+M33),0)</f>
        <v/>
      </c>
      <c r="P33" s="12">
        <f>IFERROR(L33/(L33+N33),0)</f>
        <v/>
      </c>
      <c r="Q33" s="13">
        <f>IFERROR((L33/K33)/((L33+N33)/(K33+M33))*100,0)</f>
        <v/>
      </c>
      <c r="R33" s="14">
        <f>(P33-O33)*100</f>
        <v/>
      </c>
      <c r="S33" s="11">
        <f>SUMIFS(Datos!$L$2:$L$148,Datos!$A$2:$A$148,$A33,Datos!$B$2:$B$148,$B$2)</f>
        <v/>
      </c>
      <c r="T33" s="11">
        <f>SUMIFS(Datos!$M$2:$M$148,Datos!$A$2:$A$148,$A33,Datos!$B$2:$B$148,$B$2)</f>
        <v/>
      </c>
      <c r="U33" s="11">
        <f>SUMIFS(Datos!$N$2:$N$148,Datos!$A$2:$A$148,$A33,Datos!$B$2:$B$148,$B$2)</f>
        <v/>
      </c>
      <c r="V33" s="11">
        <f>SUMIFS(Datos!$O$2:$O$148,Datos!$A$2:$A$148,$A33,Datos!$B$2:$B$148,$B$2)</f>
        <v/>
      </c>
      <c r="W33" s="12">
        <f>IFERROR(S33/(S33+U33),0)</f>
        <v/>
      </c>
      <c r="X33" s="12">
        <f>IFERROR(T33/(T33+V33),0)</f>
        <v/>
      </c>
      <c r="Y33" s="13">
        <f>IFERROR((T33/S33)/((T33+V33)/(S33+U33))*100,0)</f>
        <v/>
      </c>
      <c r="Z33" s="14">
        <f>(X33-W33)*100</f>
        <v/>
      </c>
    </row>
    <row r="34">
      <c r="A34" s="9" t="inlineStr">
        <is>
          <t>VALIUM</t>
        </is>
      </c>
      <c r="B34" s="10" t="inlineStr">
        <is>
          <t>DIAZEPAM</t>
        </is>
      </c>
      <c r="C34" s="11">
        <f>SUMIFS(Datos!$D$2:$D$148,Datos!$A$2:$A$148,$A34,Datos!$B$2:$B$148,$B$2)</f>
        <v/>
      </c>
      <c r="D34" s="11">
        <f>SUMIFS(Datos!$E$2:$E$148,Datos!$A$2:$A$148,$A34,Datos!$B$2:$B$148,$B$2)</f>
        <v/>
      </c>
      <c r="E34" s="11">
        <f>SUMIFS(Datos!$F$2:$F$148,Datos!$A$2:$A$148,$A34,Datos!$B$2:$B$148,$B$2)</f>
        <v/>
      </c>
      <c r="F34" s="11">
        <f>SUMIFS(Datos!$G$2:$G$148,Datos!$A$2:$A$148,$A34,Datos!$B$2:$B$148,$B$2)</f>
        <v/>
      </c>
      <c r="G34" s="12">
        <f>IFERROR(C34/(C34+E34),0)</f>
        <v/>
      </c>
      <c r="H34" s="12">
        <f>IFERROR(D34/(D34+F34),0)</f>
        <v/>
      </c>
      <c r="I34" s="13">
        <f>IFERROR((D34/C34)/((D34+F34)/(C34+E34))*100,0)</f>
        <v/>
      </c>
      <c r="J34" s="14">
        <f>(H34-G34)*100</f>
        <v/>
      </c>
      <c r="K34" s="11">
        <f>SUMIFS(Datos!$H$2:$H$148,Datos!$A$2:$A$148,$A34,Datos!$B$2:$B$148,$B$2)</f>
        <v/>
      </c>
      <c r="L34" s="11">
        <f>SUMIFS(Datos!$I$2:$I$148,Datos!$A$2:$A$148,$A34,Datos!$B$2:$B$148,$B$2)</f>
        <v/>
      </c>
      <c r="M34" s="11">
        <f>SUMIFS(Datos!$J$2:$J$148,Datos!$A$2:$A$148,$A34,Datos!$B$2:$B$148,$B$2)</f>
        <v/>
      </c>
      <c r="N34" s="11">
        <f>SUMIFS(Datos!$K$2:$K$148,Datos!$A$2:$A$148,$A34,Datos!$B$2:$B$148,$B$2)</f>
        <v/>
      </c>
      <c r="O34" s="12">
        <f>IFERROR(K34/(K34+M34),0)</f>
        <v/>
      </c>
      <c r="P34" s="12">
        <f>IFERROR(L34/(L34+N34),0)</f>
        <v/>
      </c>
      <c r="Q34" s="13">
        <f>IFERROR((L34/K34)/((L34+N34)/(K34+M34))*100,0)</f>
        <v/>
      </c>
      <c r="R34" s="14">
        <f>(P34-O34)*100</f>
        <v/>
      </c>
      <c r="S34" s="11">
        <f>SUMIFS(Datos!$L$2:$L$148,Datos!$A$2:$A$148,$A34,Datos!$B$2:$B$148,$B$2)</f>
        <v/>
      </c>
      <c r="T34" s="11">
        <f>SUMIFS(Datos!$M$2:$M$148,Datos!$A$2:$A$148,$A34,Datos!$B$2:$B$148,$B$2)</f>
        <v/>
      </c>
      <c r="U34" s="11">
        <f>SUMIFS(Datos!$N$2:$N$148,Datos!$A$2:$A$148,$A34,Datos!$B$2:$B$148,$B$2)</f>
        <v/>
      </c>
      <c r="V34" s="11">
        <f>SUMIFS(Datos!$O$2:$O$148,Datos!$A$2:$A$148,$A34,Datos!$B$2:$B$148,$B$2)</f>
        <v/>
      </c>
      <c r="W34" s="12">
        <f>IFERROR(S34/(S34+U34),0)</f>
        <v/>
      </c>
      <c r="X34" s="12">
        <f>IFERROR(T34/(T34+V34),0)</f>
        <v/>
      </c>
      <c r="Y34" s="13">
        <f>IFERROR((T34/S34)/((T34+V34)/(S34+U34))*100,0)</f>
        <v/>
      </c>
      <c r="Z34" s="14">
        <f>(X34-W34)*100</f>
        <v/>
      </c>
    </row>
    <row r="35">
      <c r="A35" s="9" t="inlineStr">
        <is>
          <t>PGB</t>
        </is>
      </c>
      <c r="B35" s="10" t="inlineStr">
        <is>
          <t>PREGABALIN</t>
        </is>
      </c>
      <c r="C35" s="11">
        <f>SUMIFS(Datos!$D$2:$D$148,Datos!$A$2:$A$148,$A35,Datos!$B$2:$B$148,$B$2)</f>
        <v/>
      </c>
      <c r="D35" s="11">
        <f>SUMIFS(Datos!$E$2:$E$148,Datos!$A$2:$A$148,$A35,Datos!$B$2:$B$148,$B$2)</f>
        <v/>
      </c>
      <c r="E35" s="11">
        <f>SUMIFS(Datos!$F$2:$F$148,Datos!$A$2:$A$148,$A35,Datos!$B$2:$B$148,$B$2)</f>
        <v/>
      </c>
      <c r="F35" s="11">
        <f>SUMIFS(Datos!$G$2:$G$148,Datos!$A$2:$A$148,$A35,Datos!$B$2:$B$148,$B$2)</f>
        <v/>
      </c>
      <c r="G35" s="12">
        <f>IFERROR(C35/(C35+E35),0)</f>
        <v/>
      </c>
      <c r="H35" s="12">
        <f>IFERROR(D35/(D35+F35),0)</f>
        <v/>
      </c>
      <c r="I35" s="13">
        <f>IFERROR((D35/C35)/((D35+F35)/(C35+E35))*100,0)</f>
        <v/>
      </c>
      <c r="J35" s="14">
        <f>(H35-G35)*100</f>
        <v/>
      </c>
      <c r="K35" s="11">
        <f>SUMIFS(Datos!$H$2:$H$148,Datos!$A$2:$A$148,$A35,Datos!$B$2:$B$148,$B$2)</f>
        <v/>
      </c>
      <c r="L35" s="11">
        <f>SUMIFS(Datos!$I$2:$I$148,Datos!$A$2:$A$148,$A35,Datos!$B$2:$B$148,$B$2)</f>
        <v/>
      </c>
      <c r="M35" s="11">
        <f>SUMIFS(Datos!$J$2:$J$148,Datos!$A$2:$A$148,$A35,Datos!$B$2:$B$148,$B$2)</f>
        <v/>
      </c>
      <c r="N35" s="11">
        <f>SUMIFS(Datos!$K$2:$K$148,Datos!$A$2:$A$148,$A35,Datos!$B$2:$B$148,$B$2)</f>
        <v/>
      </c>
      <c r="O35" s="12">
        <f>IFERROR(K35/(K35+M35),0)</f>
        <v/>
      </c>
      <c r="P35" s="12">
        <f>IFERROR(L35/(L35+N35),0)</f>
        <v/>
      </c>
      <c r="Q35" s="13">
        <f>IFERROR((L35/K35)/((L35+N35)/(K35+M35))*100,0)</f>
        <v/>
      </c>
      <c r="R35" s="14">
        <f>(P35-O35)*100</f>
        <v/>
      </c>
      <c r="S35" s="11">
        <f>SUMIFS(Datos!$L$2:$L$148,Datos!$A$2:$A$148,$A35,Datos!$B$2:$B$148,$B$2)</f>
        <v/>
      </c>
      <c r="T35" s="11">
        <f>SUMIFS(Datos!$M$2:$M$148,Datos!$A$2:$A$148,$A35,Datos!$B$2:$B$148,$B$2)</f>
        <v/>
      </c>
      <c r="U35" s="11">
        <f>SUMIFS(Datos!$N$2:$N$148,Datos!$A$2:$A$148,$A35,Datos!$B$2:$B$148,$B$2)</f>
        <v/>
      </c>
      <c r="V35" s="11">
        <f>SUMIFS(Datos!$O$2:$O$148,Datos!$A$2:$A$148,$A35,Datos!$B$2:$B$148,$B$2)</f>
        <v/>
      </c>
      <c r="W35" s="12">
        <f>IFERROR(S35/(S35+U35),0)</f>
        <v/>
      </c>
      <c r="X35" s="12">
        <f>IFERROR(T35/(T35+V35),0)</f>
        <v/>
      </c>
      <c r="Y35" s="13">
        <f>IFERROR((T35/S35)/((T35+V35)/(S35+U35))*100,0)</f>
        <v/>
      </c>
      <c r="Z35" s="14">
        <f>(X35-W35)*100</f>
        <v/>
      </c>
    </row>
    <row r="36">
      <c r="A36" s="9" t="inlineStr">
        <is>
          <t>QTP</t>
        </is>
      </c>
      <c r="B36" s="10" t="inlineStr">
        <is>
          <t>QUETIAPINE</t>
        </is>
      </c>
      <c r="C36" s="11">
        <f>SUMIFS(Datos!$D$2:$D$148,Datos!$A$2:$A$148,$A36,Datos!$B$2:$B$148,$B$2)</f>
        <v/>
      </c>
      <c r="D36" s="11">
        <f>SUMIFS(Datos!$E$2:$E$148,Datos!$A$2:$A$148,$A36,Datos!$B$2:$B$148,$B$2)</f>
        <v/>
      </c>
      <c r="E36" s="11">
        <f>SUMIFS(Datos!$F$2:$F$148,Datos!$A$2:$A$148,$A36,Datos!$B$2:$B$148,$B$2)</f>
        <v/>
      </c>
      <c r="F36" s="11">
        <f>SUMIFS(Datos!$G$2:$G$148,Datos!$A$2:$A$148,$A36,Datos!$B$2:$B$148,$B$2)</f>
        <v/>
      </c>
      <c r="G36" s="12">
        <f>IFERROR(C36/(C36+E36),0)</f>
        <v/>
      </c>
      <c r="H36" s="12">
        <f>IFERROR(D36/(D36+F36),0)</f>
        <v/>
      </c>
      <c r="I36" s="13">
        <f>IFERROR((D36/C36)/((D36+F36)/(C36+E36))*100,0)</f>
        <v/>
      </c>
      <c r="J36" s="14">
        <f>(H36-G36)*100</f>
        <v/>
      </c>
      <c r="K36" s="11">
        <f>SUMIFS(Datos!$H$2:$H$148,Datos!$A$2:$A$148,$A36,Datos!$B$2:$B$148,$B$2)</f>
        <v/>
      </c>
      <c r="L36" s="11">
        <f>SUMIFS(Datos!$I$2:$I$148,Datos!$A$2:$A$148,$A36,Datos!$B$2:$B$148,$B$2)</f>
        <v/>
      </c>
      <c r="M36" s="11">
        <f>SUMIFS(Datos!$J$2:$J$148,Datos!$A$2:$A$148,$A36,Datos!$B$2:$B$148,$B$2)</f>
        <v/>
      </c>
      <c r="N36" s="11">
        <f>SUMIFS(Datos!$K$2:$K$148,Datos!$A$2:$A$148,$A36,Datos!$B$2:$B$148,$B$2)</f>
        <v/>
      </c>
      <c r="O36" s="12">
        <f>IFERROR(K36/(K36+M36),0)</f>
        <v/>
      </c>
      <c r="P36" s="12">
        <f>IFERROR(L36/(L36+N36),0)</f>
        <v/>
      </c>
      <c r="Q36" s="13">
        <f>IFERROR((L36/K36)/((L36+N36)/(K36+M36))*100,0)</f>
        <v/>
      </c>
      <c r="R36" s="14">
        <f>(P36-O36)*100</f>
        <v/>
      </c>
      <c r="S36" s="11">
        <f>SUMIFS(Datos!$L$2:$L$148,Datos!$A$2:$A$148,$A36,Datos!$B$2:$B$148,$B$2)</f>
        <v/>
      </c>
      <c r="T36" s="11">
        <f>SUMIFS(Datos!$M$2:$M$148,Datos!$A$2:$A$148,$A36,Datos!$B$2:$B$148,$B$2)</f>
        <v/>
      </c>
      <c r="U36" s="11">
        <f>SUMIFS(Datos!$N$2:$N$148,Datos!$A$2:$A$148,$A36,Datos!$B$2:$B$148,$B$2)</f>
        <v/>
      </c>
      <c r="V36" s="11">
        <f>SUMIFS(Datos!$O$2:$O$148,Datos!$A$2:$A$148,$A36,Datos!$B$2:$B$148,$B$2)</f>
        <v/>
      </c>
      <c r="W36" s="12">
        <f>IFERROR(S36/(S36+U36),0)</f>
        <v/>
      </c>
      <c r="X36" s="12">
        <f>IFERROR(T36/(T36+V36),0)</f>
        <v/>
      </c>
      <c r="Y36" s="13">
        <f>IFERROR((T36/S36)/((T36+V36)/(S36+U36))*100,0)</f>
        <v/>
      </c>
      <c r="Z36" s="14">
        <f>(X36-W36)*100</f>
        <v/>
      </c>
    </row>
    <row r="37">
      <c r="A37" s="9" t="inlineStr">
        <is>
          <t>MADOPAR</t>
        </is>
      </c>
      <c r="B37" s="10" t="inlineStr">
        <is>
          <t>BENSERAZIDE_LEVODOPA</t>
        </is>
      </c>
      <c r="C37" s="11">
        <f>SUMIFS(Datos!$D$2:$D$148,Datos!$A$2:$A$148,$A37,Datos!$B$2:$B$148,$B$2)</f>
        <v/>
      </c>
      <c r="D37" s="11">
        <f>SUMIFS(Datos!$E$2:$E$148,Datos!$A$2:$A$148,$A37,Datos!$B$2:$B$148,$B$2)</f>
        <v/>
      </c>
      <c r="E37" s="11">
        <f>SUMIFS(Datos!$F$2:$F$148,Datos!$A$2:$A$148,$A37,Datos!$B$2:$B$148,$B$2)</f>
        <v/>
      </c>
      <c r="F37" s="11">
        <f>SUMIFS(Datos!$G$2:$G$148,Datos!$A$2:$A$148,$A37,Datos!$B$2:$B$148,$B$2)</f>
        <v/>
      </c>
      <c r="G37" s="12">
        <f>IFERROR(C37/(C37+E37),0)</f>
        <v/>
      </c>
      <c r="H37" s="12">
        <f>IFERROR(D37/(D37+F37),0)</f>
        <v/>
      </c>
      <c r="I37" s="13">
        <f>IFERROR((D37/C37)/((D37+F37)/(C37+E37))*100,0)</f>
        <v/>
      </c>
      <c r="J37" s="14">
        <f>(H37-G37)*100</f>
        <v/>
      </c>
      <c r="K37" s="11">
        <f>SUMIFS(Datos!$H$2:$H$148,Datos!$A$2:$A$148,$A37,Datos!$B$2:$B$148,$B$2)</f>
        <v/>
      </c>
      <c r="L37" s="11">
        <f>SUMIFS(Datos!$I$2:$I$148,Datos!$A$2:$A$148,$A37,Datos!$B$2:$B$148,$B$2)</f>
        <v/>
      </c>
      <c r="M37" s="11">
        <f>SUMIFS(Datos!$J$2:$J$148,Datos!$A$2:$A$148,$A37,Datos!$B$2:$B$148,$B$2)</f>
        <v/>
      </c>
      <c r="N37" s="11">
        <f>SUMIFS(Datos!$K$2:$K$148,Datos!$A$2:$A$148,$A37,Datos!$B$2:$B$148,$B$2)</f>
        <v/>
      </c>
      <c r="O37" s="12">
        <f>IFERROR(K37/(K37+M37),0)</f>
        <v/>
      </c>
      <c r="P37" s="12">
        <f>IFERROR(L37/(L37+N37),0)</f>
        <v/>
      </c>
      <c r="Q37" s="13">
        <f>IFERROR((L37/K37)/((L37+N37)/(K37+M37))*100,0)</f>
        <v/>
      </c>
      <c r="R37" s="14">
        <f>(P37-O37)*100</f>
        <v/>
      </c>
      <c r="S37" s="11">
        <f>SUMIFS(Datos!$L$2:$L$148,Datos!$A$2:$A$148,$A37,Datos!$B$2:$B$148,$B$2)</f>
        <v/>
      </c>
      <c r="T37" s="11">
        <f>SUMIFS(Datos!$M$2:$M$148,Datos!$A$2:$A$148,$A37,Datos!$B$2:$B$148,$B$2)</f>
        <v/>
      </c>
      <c r="U37" s="11">
        <f>SUMIFS(Datos!$N$2:$N$148,Datos!$A$2:$A$148,$A37,Datos!$B$2:$B$148,$B$2)</f>
        <v/>
      </c>
      <c r="V37" s="11">
        <f>SUMIFS(Datos!$O$2:$O$148,Datos!$A$2:$A$148,$A37,Datos!$B$2:$B$148,$B$2)</f>
        <v/>
      </c>
      <c r="W37" s="12">
        <f>IFERROR(S37/(S37+U37),0)</f>
        <v/>
      </c>
      <c r="X37" s="12">
        <f>IFERROR(T37/(T37+V37),0)</f>
        <v/>
      </c>
      <c r="Y37" s="13">
        <f>IFERROR((T37/S37)/((T37+V37)/(S37+U37))*100,0)</f>
        <v/>
      </c>
      <c r="Z37" s="14">
        <f>(X37-W37)*100</f>
        <v/>
      </c>
    </row>
    <row r="38">
      <c r="A38" s="9" t="inlineStr">
        <is>
          <t>ACNECLIN</t>
        </is>
      </c>
      <c r="B38" s="10" t="inlineStr">
        <is>
          <t>ADAPALENE_BENZOYL PEROXIDE | MINOCYCLINE</t>
        </is>
      </c>
      <c r="C38" s="11">
        <f>SUMIFS(Datos!$D$2:$D$148,Datos!$A$2:$A$148,$A38,Datos!$B$2:$B$148,$B$2)</f>
        <v/>
      </c>
      <c r="D38" s="11">
        <f>SUMIFS(Datos!$E$2:$E$148,Datos!$A$2:$A$148,$A38,Datos!$B$2:$B$148,$B$2)</f>
        <v/>
      </c>
      <c r="E38" s="11">
        <f>SUMIFS(Datos!$F$2:$F$148,Datos!$A$2:$A$148,$A38,Datos!$B$2:$B$148,$B$2)</f>
        <v/>
      </c>
      <c r="F38" s="11">
        <f>SUMIFS(Datos!$G$2:$G$148,Datos!$A$2:$A$148,$A38,Datos!$B$2:$B$148,$B$2)</f>
        <v/>
      </c>
      <c r="G38" s="12">
        <f>IFERROR(C38/(C38+E38),0)</f>
        <v/>
      </c>
      <c r="H38" s="12">
        <f>IFERROR(D38/(D38+F38),0)</f>
        <v/>
      </c>
      <c r="I38" s="13">
        <f>IFERROR((D38/C38)/((D38+F38)/(C38+E38))*100,0)</f>
        <v/>
      </c>
      <c r="J38" s="14">
        <f>(H38-G38)*100</f>
        <v/>
      </c>
      <c r="K38" s="11">
        <f>SUMIFS(Datos!$H$2:$H$148,Datos!$A$2:$A$148,$A38,Datos!$B$2:$B$148,$B$2)</f>
        <v/>
      </c>
      <c r="L38" s="11">
        <f>SUMIFS(Datos!$I$2:$I$148,Datos!$A$2:$A$148,$A38,Datos!$B$2:$B$148,$B$2)</f>
        <v/>
      </c>
      <c r="M38" s="11">
        <f>SUMIFS(Datos!$J$2:$J$148,Datos!$A$2:$A$148,$A38,Datos!$B$2:$B$148,$B$2)</f>
        <v/>
      </c>
      <c r="N38" s="11">
        <f>SUMIFS(Datos!$K$2:$K$148,Datos!$A$2:$A$148,$A38,Datos!$B$2:$B$148,$B$2)</f>
        <v/>
      </c>
      <c r="O38" s="12">
        <f>IFERROR(K38/(K38+M38),0)</f>
        <v/>
      </c>
      <c r="P38" s="12">
        <f>IFERROR(L38/(L38+N38),0)</f>
        <v/>
      </c>
      <c r="Q38" s="13">
        <f>IFERROR((L38/K38)/((L38+N38)/(K38+M38))*100,0)</f>
        <v/>
      </c>
      <c r="R38" s="14">
        <f>(P38-O38)*100</f>
        <v/>
      </c>
      <c r="S38" s="11">
        <f>SUMIFS(Datos!$L$2:$L$148,Datos!$A$2:$A$148,$A38,Datos!$B$2:$B$148,$B$2)</f>
        <v/>
      </c>
      <c r="T38" s="11">
        <f>SUMIFS(Datos!$M$2:$M$148,Datos!$A$2:$A$148,$A38,Datos!$B$2:$B$148,$B$2)</f>
        <v/>
      </c>
      <c r="U38" s="11">
        <f>SUMIFS(Datos!$N$2:$N$148,Datos!$A$2:$A$148,$A38,Datos!$B$2:$B$148,$B$2)</f>
        <v/>
      </c>
      <c r="V38" s="11">
        <f>SUMIFS(Datos!$O$2:$O$148,Datos!$A$2:$A$148,$A38,Datos!$B$2:$B$148,$B$2)</f>
        <v/>
      </c>
      <c r="W38" s="12">
        <f>IFERROR(S38/(S38+U38),0)</f>
        <v/>
      </c>
      <c r="X38" s="12">
        <f>IFERROR(T38/(T38+V38),0)</f>
        <v/>
      </c>
      <c r="Y38" s="13">
        <f>IFERROR((T38/S38)/((T38+V38)/(S38+U38))*100,0)</f>
        <v/>
      </c>
      <c r="Z38" s="14">
        <f>(X38-W38)*100</f>
        <v/>
      </c>
    </row>
    <row r="39">
      <c r="A39" s="9" t="inlineStr">
        <is>
          <t>CLOBESOL</t>
        </is>
      </c>
      <c r="B39" s="10" t="inlineStr">
        <is>
          <t>CLOBETASOL</t>
        </is>
      </c>
      <c r="C39" s="11">
        <f>SUMIFS(Datos!$D$2:$D$148,Datos!$A$2:$A$148,$A39,Datos!$B$2:$B$148,$B$2)</f>
        <v/>
      </c>
      <c r="D39" s="11">
        <f>SUMIFS(Datos!$E$2:$E$148,Datos!$A$2:$A$148,$A39,Datos!$B$2:$B$148,$B$2)</f>
        <v/>
      </c>
      <c r="E39" s="11">
        <f>SUMIFS(Datos!$F$2:$F$148,Datos!$A$2:$A$148,$A39,Datos!$B$2:$B$148,$B$2)</f>
        <v/>
      </c>
      <c r="F39" s="11">
        <f>SUMIFS(Datos!$G$2:$G$148,Datos!$A$2:$A$148,$A39,Datos!$B$2:$B$148,$B$2)</f>
        <v/>
      </c>
      <c r="G39" s="12">
        <f>IFERROR(C39/(C39+E39),0)</f>
        <v/>
      </c>
      <c r="H39" s="12">
        <f>IFERROR(D39/(D39+F39),0)</f>
        <v/>
      </c>
      <c r="I39" s="13">
        <f>IFERROR((D39/C39)/((D39+F39)/(C39+E39))*100,0)</f>
        <v/>
      </c>
      <c r="J39" s="14">
        <f>(H39-G39)*100</f>
        <v/>
      </c>
      <c r="K39" s="11">
        <f>SUMIFS(Datos!$H$2:$H$148,Datos!$A$2:$A$148,$A39,Datos!$B$2:$B$148,$B$2)</f>
        <v/>
      </c>
      <c r="L39" s="11">
        <f>SUMIFS(Datos!$I$2:$I$148,Datos!$A$2:$A$148,$A39,Datos!$B$2:$B$148,$B$2)</f>
        <v/>
      </c>
      <c r="M39" s="11">
        <f>SUMIFS(Datos!$J$2:$J$148,Datos!$A$2:$A$148,$A39,Datos!$B$2:$B$148,$B$2)</f>
        <v/>
      </c>
      <c r="N39" s="11">
        <f>SUMIFS(Datos!$K$2:$K$148,Datos!$A$2:$A$148,$A39,Datos!$B$2:$B$148,$B$2)</f>
        <v/>
      </c>
      <c r="O39" s="12">
        <f>IFERROR(K39/(K39+M39),0)</f>
        <v/>
      </c>
      <c r="P39" s="12">
        <f>IFERROR(L39/(L39+N39),0)</f>
        <v/>
      </c>
      <c r="Q39" s="13">
        <f>IFERROR((L39/K39)/((L39+N39)/(K39+M39))*100,0)</f>
        <v/>
      </c>
      <c r="R39" s="14">
        <f>(P39-O39)*100</f>
        <v/>
      </c>
      <c r="S39" s="11">
        <f>SUMIFS(Datos!$L$2:$L$148,Datos!$A$2:$A$148,$A39,Datos!$B$2:$B$148,$B$2)</f>
        <v/>
      </c>
      <c r="T39" s="11">
        <f>SUMIFS(Datos!$M$2:$M$148,Datos!$A$2:$A$148,$A39,Datos!$B$2:$B$148,$B$2)</f>
        <v/>
      </c>
      <c r="U39" s="11">
        <f>SUMIFS(Datos!$N$2:$N$148,Datos!$A$2:$A$148,$A39,Datos!$B$2:$B$148,$B$2)</f>
        <v/>
      </c>
      <c r="V39" s="11">
        <f>SUMIFS(Datos!$O$2:$O$148,Datos!$A$2:$A$148,$A39,Datos!$B$2:$B$148,$B$2)</f>
        <v/>
      </c>
      <c r="W39" s="12">
        <f>IFERROR(S39/(S39+U39),0)</f>
        <v/>
      </c>
      <c r="X39" s="12">
        <f>IFERROR(T39/(T39+V39),0)</f>
        <v/>
      </c>
      <c r="Y39" s="13">
        <f>IFERROR((T39/S39)/((T39+V39)/(S39+U39))*100,0)</f>
        <v/>
      </c>
      <c r="Z39" s="14">
        <f>(X39-W39)*100</f>
        <v/>
      </c>
    </row>
    <row r="40">
      <c r="A40" s="9" t="inlineStr">
        <is>
          <t>MICOMAZOL</t>
        </is>
      </c>
      <c r="B40" s="10" t="inlineStr">
        <is>
          <t>BETAMETHASONE_CLOTRIMAZOLE | CICLOPIROX | CLOTRIMAZOLE</t>
        </is>
      </c>
      <c r="C40" s="11">
        <f>SUMIFS(Datos!$D$2:$D$148,Datos!$A$2:$A$148,$A40,Datos!$B$2:$B$148,$B$2)</f>
        <v/>
      </c>
      <c r="D40" s="11">
        <f>SUMIFS(Datos!$E$2:$E$148,Datos!$A$2:$A$148,$A40,Datos!$B$2:$B$148,$B$2)</f>
        <v/>
      </c>
      <c r="E40" s="11">
        <f>SUMIFS(Datos!$F$2:$F$148,Datos!$A$2:$A$148,$A40,Datos!$B$2:$B$148,$B$2)</f>
        <v/>
      </c>
      <c r="F40" s="11">
        <f>SUMIFS(Datos!$G$2:$G$148,Datos!$A$2:$A$148,$A40,Datos!$B$2:$B$148,$B$2)</f>
        <v/>
      </c>
      <c r="G40" s="12">
        <f>IFERROR(C40/(C40+E40),0)</f>
        <v/>
      </c>
      <c r="H40" s="12">
        <f>IFERROR(D40/(D40+F40),0)</f>
        <v/>
      </c>
      <c r="I40" s="13">
        <f>IFERROR((D40/C40)/((D40+F40)/(C40+E40))*100,0)</f>
        <v/>
      </c>
      <c r="J40" s="14">
        <f>(H40-G40)*100</f>
        <v/>
      </c>
      <c r="K40" s="11">
        <f>SUMIFS(Datos!$H$2:$H$148,Datos!$A$2:$A$148,$A40,Datos!$B$2:$B$148,$B$2)</f>
        <v/>
      </c>
      <c r="L40" s="11">
        <f>SUMIFS(Datos!$I$2:$I$148,Datos!$A$2:$A$148,$A40,Datos!$B$2:$B$148,$B$2)</f>
        <v/>
      </c>
      <c r="M40" s="11">
        <f>SUMIFS(Datos!$J$2:$J$148,Datos!$A$2:$A$148,$A40,Datos!$B$2:$B$148,$B$2)</f>
        <v/>
      </c>
      <c r="N40" s="11">
        <f>SUMIFS(Datos!$K$2:$K$148,Datos!$A$2:$A$148,$A40,Datos!$B$2:$B$148,$B$2)</f>
        <v/>
      </c>
      <c r="O40" s="12">
        <f>IFERROR(K40/(K40+M40),0)</f>
        <v/>
      </c>
      <c r="P40" s="12">
        <f>IFERROR(L40/(L40+N40),0)</f>
        <v/>
      </c>
      <c r="Q40" s="13">
        <f>IFERROR((L40/K40)/((L40+N40)/(K40+M40))*100,0)</f>
        <v/>
      </c>
      <c r="R40" s="14">
        <f>(P40-O40)*100</f>
        <v/>
      </c>
      <c r="S40" s="11">
        <f>SUMIFS(Datos!$L$2:$L$148,Datos!$A$2:$A$148,$A40,Datos!$B$2:$B$148,$B$2)</f>
        <v/>
      </c>
      <c r="T40" s="11">
        <f>SUMIFS(Datos!$M$2:$M$148,Datos!$A$2:$A$148,$A40,Datos!$B$2:$B$148,$B$2)</f>
        <v/>
      </c>
      <c r="U40" s="11">
        <f>SUMIFS(Datos!$N$2:$N$148,Datos!$A$2:$A$148,$A40,Datos!$B$2:$B$148,$B$2)</f>
        <v/>
      </c>
      <c r="V40" s="11">
        <f>SUMIFS(Datos!$O$2:$O$148,Datos!$A$2:$A$148,$A40,Datos!$B$2:$B$148,$B$2)</f>
        <v/>
      </c>
      <c r="W40" s="12">
        <f>IFERROR(S40/(S40+U40),0)</f>
        <v/>
      </c>
      <c r="X40" s="12">
        <f>IFERROR(T40/(T40+V40),0)</f>
        <v/>
      </c>
      <c r="Y40" s="13">
        <f>IFERROR((T40/S40)/((T40+V40)/(S40+U40))*100,0)</f>
        <v/>
      </c>
      <c r="Z40" s="14">
        <f>(X40-W40)*100</f>
        <v/>
      </c>
    </row>
    <row r="41">
      <c r="A41" s="9" t="inlineStr">
        <is>
          <t>MICROSONA</t>
        </is>
      </c>
      <c r="B41" s="10" t="inlineStr">
        <is>
          <t>GENTAMICIN_HYDROCORTISONE_KETOCONAZOLE | HYDROCORTISONE | ZINC</t>
        </is>
      </c>
      <c r="C41" s="11">
        <f>SUMIFS(Datos!$D$2:$D$148,Datos!$A$2:$A$148,$A41,Datos!$B$2:$B$148,$B$2)</f>
        <v/>
      </c>
      <c r="D41" s="11">
        <f>SUMIFS(Datos!$E$2:$E$148,Datos!$A$2:$A$148,$A41,Datos!$B$2:$B$148,$B$2)</f>
        <v/>
      </c>
      <c r="E41" s="11">
        <f>SUMIFS(Datos!$F$2:$F$148,Datos!$A$2:$A$148,$A41,Datos!$B$2:$B$148,$B$2)</f>
        <v/>
      </c>
      <c r="F41" s="11">
        <f>SUMIFS(Datos!$G$2:$G$148,Datos!$A$2:$A$148,$A41,Datos!$B$2:$B$148,$B$2)</f>
        <v/>
      </c>
      <c r="G41" s="12">
        <f>IFERROR(C41/(C41+E41),0)</f>
        <v/>
      </c>
      <c r="H41" s="12">
        <f>IFERROR(D41/(D41+F41),0)</f>
        <v/>
      </c>
      <c r="I41" s="13">
        <f>IFERROR((D41/C41)/((D41+F41)/(C41+E41))*100,0)</f>
        <v/>
      </c>
      <c r="J41" s="14">
        <f>(H41-G41)*100</f>
        <v/>
      </c>
      <c r="K41" s="11">
        <f>SUMIFS(Datos!$H$2:$H$148,Datos!$A$2:$A$148,$A41,Datos!$B$2:$B$148,$B$2)</f>
        <v/>
      </c>
      <c r="L41" s="11">
        <f>SUMIFS(Datos!$I$2:$I$148,Datos!$A$2:$A$148,$A41,Datos!$B$2:$B$148,$B$2)</f>
        <v/>
      </c>
      <c r="M41" s="11">
        <f>SUMIFS(Datos!$J$2:$J$148,Datos!$A$2:$A$148,$A41,Datos!$B$2:$B$148,$B$2)</f>
        <v/>
      </c>
      <c r="N41" s="11">
        <f>SUMIFS(Datos!$K$2:$K$148,Datos!$A$2:$A$148,$A41,Datos!$B$2:$B$148,$B$2)</f>
        <v/>
      </c>
      <c r="O41" s="12">
        <f>IFERROR(K41/(K41+M41),0)</f>
        <v/>
      </c>
      <c r="P41" s="12">
        <f>IFERROR(L41/(L41+N41),0)</f>
        <v/>
      </c>
      <c r="Q41" s="13">
        <f>IFERROR((L41/K41)/((L41+N41)/(K41+M41))*100,0)</f>
        <v/>
      </c>
      <c r="R41" s="14">
        <f>(P41-O41)*100</f>
        <v/>
      </c>
      <c r="S41" s="11">
        <f>SUMIFS(Datos!$L$2:$L$148,Datos!$A$2:$A$148,$A41,Datos!$B$2:$B$148,$B$2)</f>
        <v/>
      </c>
      <c r="T41" s="11">
        <f>SUMIFS(Datos!$M$2:$M$148,Datos!$A$2:$A$148,$A41,Datos!$B$2:$B$148,$B$2)</f>
        <v/>
      </c>
      <c r="U41" s="11">
        <f>SUMIFS(Datos!$N$2:$N$148,Datos!$A$2:$A$148,$A41,Datos!$B$2:$B$148,$B$2)</f>
        <v/>
      </c>
      <c r="V41" s="11">
        <f>SUMIFS(Datos!$O$2:$O$148,Datos!$A$2:$A$148,$A41,Datos!$B$2:$B$148,$B$2)</f>
        <v/>
      </c>
      <c r="W41" s="12">
        <f>IFERROR(S41/(S41+U41),0)</f>
        <v/>
      </c>
      <c r="X41" s="12">
        <f>IFERROR(T41/(T41+V41),0)</f>
        <v/>
      </c>
      <c r="Y41" s="13">
        <f>IFERROR((T41/S41)/((T41+V41)/(S41+U41))*100,0)</f>
        <v/>
      </c>
      <c r="Z41" s="14">
        <f>(X41-W41)*100</f>
        <v/>
      </c>
    </row>
    <row r="42">
      <c r="A42" s="9" t="inlineStr">
        <is>
          <t>PALDAR</t>
        </is>
      </c>
      <c r="B42" s="10" t="inlineStr">
        <is>
          <t>HYDROCORTISONE_MUPIROCIN | MUPIROCIN</t>
        </is>
      </c>
      <c r="C42" s="11">
        <f>SUMIFS(Datos!$D$2:$D$148,Datos!$A$2:$A$148,$A42,Datos!$B$2:$B$148,$B$2)</f>
        <v/>
      </c>
      <c r="D42" s="11">
        <f>SUMIFS(Datos!$E$2:$E$148,Datos!$A$2:$A$148,$A42,Datos!$B$2:$B$148,$B$2)</f>
        <v/>
      </c>
      <c r="E42" s="11">
        <f>SUMIFS(Datos!$F$2:$F$148,Datos!$A$2:$A$148,$A42,Datos!$B$2:$B$148,$B$2)</f>
        <v/>
      </c>
      <c r="F42" s="11">
        <f>SUMIFS(Datos!$G$2:$G$148,Datos!$A$2:$A$148,$A42,Datos!$B$2:$B$148,$B$2)</f>
        <v/>
      </c>
      <c r="G42" s="12">
        <f>IFERROR(C42/(C42+E42),0)</f>
        <v/>
      </c>
      <c r="H42" s="12">
        <f>IFERROR(D42/(D42+F42),0)</f>
        <v/>
      </c>
      <c r="I42" s="13">
        <f>IFERROR((D42/C42)/((D42+F42)/(C42+E42))*100,0)</f>
        <v/>
      </c>
      <c r="J42" s="14">
        <f>(H42-G42)*100</f>
        <v/>
      </c>
      <c r="K42" s="11">
        <f>SUMIFS(Datos!$H$2:$H$148,Datos!$A$2:$A$148,$A42,Datos!$B$2:$B$148,$B$2)</f>
        <v/>
      </c>
      <c r="L42" s="11">
        <f>SUMIFS(Datos!$I$2:$I$148,Datos!$A$2:$A$148,$A42,Datos!$B$2:$B$148,$B$2)</f>
        <v/>
      </c>
      <c r="M42" s="11">
        <f>SUMIFS(Datos!$J$2:$J$148,Datos!$A$2:$A$148,$A42,Datos!$B$2:$B$148,$B$2)</f>
        <v/>
      </c>
      <c r="N42" s="11">
        <f>SUMIFS(Datos!$K$2:$K$148,Datos!$A$2:$A$148,$A42,Datos!$B$2:$B$148,$B$2)</f>
        <v/>
      </c>
      <c r="O42" s="12">
        <f>IFERROR(K42/(K42+M42),0)</f>
        <v/>
      </c>
      <c r="P42" s="12">
        <f>IFERROR(L42/(L42+N42),0)</f>
        <v/>
      </c>
      <c r="Q42" s="13">
        <f>IFERROR((L42/K42)/((L42+N42)/(K42+M42))*100,0)</f>
        <v/>
      </c>
      <c r="R42" s="14">
        <f>(P42-O42)*100</f>
        <v/>
      </c>
      <c r="S42" s="11">
        <f>SUMIFS(Datos!$L$2:$L$148,Datos!$A$2:$A$148,$A42,Datos!$B$2:$B$148,$B$2)</f>
        <v/>
      </c>
      <c r="T42" s="11">
        <f>SUMIFS(Datos!$M$2:$M$148,Datos!$A$2:$A$148,$A42,Datos!$B$2:$B$148,$B$2)</f>
        <v/>
      </c>
      <c r="U42" s="11">
        <f>SUMIFS(Datos!$N$2:$N$148,Datos!$A$2:$A$148,$A42,Datos!$B$2:$B$148,$B$2)</f>
        <v/>
      </c>
      <c r="V42" s="11">
        <f>SUMIFS(Datos!$O$2:$O$148,Datos!$A$2:$A$148,$A42,Datos!$B$2:$B$148,$B$2)</f>
        <v/>
      </c>
      <c r="W42" s="12">
        <f>IFERROR(S42/(S42+U42),0)</f>
        <v/>
      </c>
      <c r="X42" s="12">
        <f>IFERROR(T42/(T42+V42),0)</f>
        <v/>
      </c>
      <c r="Y42" s="13">
        <f>IFERROR((T42/S42)/((T42+V42)/(S42+U42))*100,0)</f>
        <v/>
      </c>
      <c r="Z42" s="14">
        <f>(X42-W42)*100</f>
        <v/>
      </c>
    </row>
    <row r="43">
      <c r="A43" s="9" t="inlineStr">
        <is>
          <t>ROACCUTAN</t>
        </is>
      </c>
      <c r="B43" s="10" t="inlineStr">
        <is>
          <t>ISOTRETINOIN</t>
        </is>
      </c>
      <c r="C43" s="11">
        <f>SUMIFS(Datos!$D$2:$D$148,Datos!$A$2:$A$148,$A43,Datos!$B$2:$B$148,$B$2)</f>
        <v/>
      </c>
      <c r="D43" s="11">
        <f>SUMIFS(Datos!$E$2:$E$148,Datos!$A$2:$A$148,$A43,Datos!$B$2:$B$148,$B$2)</f>
        <v/>
      </c>
      <c r="E43" s="11">
        <f>SUMIFS(Datos!$F$2:$F$148,Datos!$A$2:$A$148,$A43,Datos!$B$2:$B$148,$B$2)</f>
        <v/>
      </c>
      <c r="F43" s="11">
        <f>SUMIFS(Datos!$G$2:$G$148,Datos!$A$2:$A$148,$A43,Datos!$B$2:$B$148,$B$2)</f>
        <v/>
      </c>
      <c r="G43" s="12">
        <f>IFERROR(C43/(C43+E43),0)</f>
        <v/>
      </c>
      <c r="H43" s="12">
        <f>IFERROR(D43/(D43+F43),0)</f>
        <v/>
      </c>
      <c r="I43" s="13">
        <f>IFERROR((D43/C43)/((D43+F43)/(C43+E43))*100,0)</f>
        <v/>
      </c>
      <c r="J43" s="14">
        <f>(H43-G43)*100</f>
        <v/>
      </c>
      <c r="K43" s="11">
        <f>SUMIFS(Datos!$H$2:$H$148,Datos!$A$2:$A$148,$A43,Datos!$B$2:$B$148,$B$2)</f>
        <v/>
      </c>
      <c r="L43" s="11">
        <f>SUMIFS(Datos!$I$2:$I$148,Datos!$A$2:$A$148,$A43,Datos!$B$2:$B$148,$B$2)</f>
        <v/>
      </c>
      <c r="M43" s="11">
        <f>SUMIFS(Datos!$J$2:$J$148,Datos!$A$2:$A$148,$A43,Datos!$B$2:$B$148,$B$2)</f>
        <v/>
      </c>
      <c r="N43" s="11">
        <f>SUMIFS(Datos!$K$2:$K$148,Datos!$A$2:$A$148,$A43,Datos!$B$2:$B$148,$B$2)</f>
        <v/>
      </c>
      <c r="O43" s="12">
        <f>IFERROR(K43/(K43+M43),0)</f>
        <v/>
      </c>
      <c r="P43" s="12">
        <f>IFERROR(L43/(L43+N43),0)</f>
        <v/>
      </c>
      <c r="Q43" s="13">
        <f>IFERROR((L43/K43)/((L43+N43)/(K43+M43))*100,0)</f>
        <v/>
      </c>
      <c r="R43" s="14">
        <f>(P43-O43)*100</f>
        <v/>
      </c>
      <c r="S43" s="11">
        <f>SUMIFS(Datos!$L$2:$L$148,Datos!$A$2:$A$148,$A43,Datos!$B$2:$B$148,$B$2)</f>
        <v/>
      </c>
      <c r="T43" s="11">
        <f>SUMIFS(Datos!$M$2:$M$148,Datos!$A$2:$A$148,$A43,Datos!$B$2:$B$148,$B$2)</f>
        <v/>
      </c>
      <c r="U43" s="11">
        <f>SUMIFS(Datos!$N$2:$N$148,Datos!$A$2:$A$148,$A43,Datos!$B$2:$B$148,$B$2)</f>
        <v/>
      </c>
      <c r="V43" s="11">
        <f>SUMIFS(Datos!$O$2:$O$148,Datos!$A$2:$A$148,$A43,Datos!$B$2:$B$148,$B$2)</f>
        <v/>
      </c>
      <c r="W43" s="12">
        <f>IFERROR(S43/(S43+U43),0)</f>
        <v/>
      </c>
      <c r="X43" s="12">
        <f>IFERROR(T43/(T43+V43),0)</f>
        <v/>
      </c>
      <c r="Y43" s="13">
        <f>IFERROR((T43/S43)/((T43+V43)/(S43+U43))*100,0)</f>
        <v/>
      </c>
      <c r="Z43" s="14">
        <f>(X43-W43)*100</f>
        <v/>
      </c>
    </row>
    <row r="44">
      <c r="A44" s="9" t="inlineStr">
        <is>
          <t>MAGNUS</t>
        </is>
      </c>
      <c r="B44" s="10" t="inlineStr">
        <is>
          <t>SILDENAFIL | TADALAFIL</t>
        </is>
      </c>
      <c r="C44" s="11">
        <f>SUMIFS(Datos!$D$2:$D$148,Datos!$A$2:$A$148,$A44,Datos!$B$2:$B$148,$B$2)</f>
        <v/>
      </c>
      <c r="D44" s="11">
        <f>SUMIFS(Datos!$E$2:$E$148,Datos!$A$2:$A$148,$A44,Datos!$B$2:$B$148,$B$2)</f>
        <v/>
      </c>
      <c r="E44" s="11">
        <f>SUMIFS(Datos!$F$2:$F$148,Datos!$A$2:$A$148,$A44,Datos!$B$2:$B$148,$B$2)</f>
        <v/>
      </c>
      <c r="F44" s="11">
        <f>SUMIFS(Datos!$G$2:$G$148,Datos!$A$2:$A$148,$A44,Datos!$B$2:$B$148,$B$2)</f>
        <v/>
      </c>
      <c r="G44" s="12">
        <f>IFERROR(C44/(C44+E44),0)</f>
        <v/>
      </c>
      <c r="H44" s="12">
        <f>IFERROR(D44/(D44+F44),0)</f>
        <v/>
      </c>
      <c r="I44" s="13">
        <f>IFERROR((D44/C44)/((D44+F44)/(C44+E44))*100,0)</f>
        <v/>
      </c>
      <c r="J44" s="14">
        <f>(H44-G44)*100</f>
        <v/>
      </c>
      <c r="K44" s="11">
        <f>SUMIFS(Datos!$H$2:$H$148,Datos!$A$2:$A$148,$A44,Datos!$B$2:$B$148,$B$2)</f>
        <v/>
      </c>
      <c r="L44" s="11">
        <f>SUMIFS(Datos!$I$2:$I$148,Datos!$A$2:$A$148,$A44,Datos!$B$2:$B$148,$B$2)</f>
        <v/>
      </c>
      <c r="M44" s="11">
        <f>SUMIFS(Datos!$J$2:$J$148,Datos!$A$2:$A$148,$A44,Datos!$B$2:$B$148,$B$2)</f>
        <v/>
      </c>
      <c r="N44" s="11">
        <f>SUMIFS(Datos!$K$2:$K$148,Datos!$A$2:$A$148,$A44,Datos!$B$2:$B$148,$B$2)</f>
        <v/>
      </c>
      <c r="O44" s="12">
        <f>IFERROR(K44/(K44+M44),0)</f>
        <v/>
      </c>
      <c r="P44" s="12">
        <f>IFERROR(L44/(L44+N44),0)</f>
        <v/>
      </c>
      <c r="Q44" s="13">
        <f>IFERROR((L44/K44)/((L44+N44)/(K44+M44))*100,0)</f>
        <v/>
      </c>
      <c r="R44" s="14">
        <f>(P44-O44)*100</f>
        <v/>
      </c>
      <c r="S44" s="11">
        <f>SUMIFS(Datos!$L$2:$L$148,Datos!$A$2:$A$148,$A44,Datos!$B$2:$B$148,$B$2)</f>
        <v/>
      </c>
      <c r="T44" s="11">
        <f>SUMIFS(Datos!$M$2:$M$148,Datos!$A$2:$A$148,$A44,Datos!$B$2:$B$148,$B$2)</f>
        <v/>
      </c>
      <c r="U44" s="11">
        <f>SUMIFS(Datos!$N$2:$N$148,Datos!$A$2:$A$148,$A44,Datos!$B$2:$B$148,$B$2)</f>
        <v/>
      </c>
      <c r="V44" s="11">
        <f>SUMIFS(Datos!$O$2:$O$148,Datos!$A$2:$A$148,$A44,Datos!$B$2:$B$148,$B$2)</f>
        <v/>
      </c>
      <c r="W44" s="12">
        <f>IFERROR(S44/(S44+U44),0)</f>
        <v/>
      </c>
      <c r="X44" s="12">
        <f>IFERROR(T44/(T44+V44),0)</f>
        <v/>
      </c>
      <c r="Y44" s="13">
        <f>IFERROR((T44/S44)/((T44+V44)/(S44+U44))*100,0)</f>
        <v/>
      </c>
      <c r="Z44" s="14">
        <f>(X44-W44)*100</f>
        <v/>
      </c>
    </row>
    <row r="45">
      <c r="A45" s="9" t="inlineStr">
        <is>
          <t>TETRALGIN</t>
        </is>
      </c>
      <c r="B45" s="10" t="inlineStr">
        <is>
          <t>ACETYLSALICYLIC ACID_CAFFEINE_PARACETAMOL | CAFFEINE_CHLORPHENAMINE_DOMPERIDONE_ERGOTAMINE_METAMIZOLE SODIUM | CAFFEINE_CHLORPHENAMINE_ERGOTAMINE_METAMIZOLE SODIUM_METOCLOPRAMIDE</t>
        </is>
      </c>
      <c r="C45" s="11">
        <f>SUMIFS(Datos!$D$2:$D$148,Datos!$A$2:$A$148,$A45,Datos!$B$2:$B$148,$B$2)</f>
        <v/>
      </c>
      <c r="D45" s="11">
        <f>SUMIFS(Datos!$E$2:$E$148,Datos!$A$2:$A$148,$A45,Datos!$B$2:$B$148,$B$2)</f>
        <v/>
      </c>
      <c r="E45" s="11">
        <f>SUMIFS(Datos!$F$2:$F$148,Datos!$A$2:$A$148,$A45,Datos!$B$2:$B$148,$B$2)</f>
        <v/>
      </c>
      <c r="F45" s="11">
        <f>SUMIFS(Datos!$G$2:$G$148,Datos!$A$2:$A$148,$A45,Datos!$B$2:$B$148,$B$2)</f>
        <v/>
      </c>
      <c r="G45" s="12">
        <f>IFERROR(C45/(C45+E45),0)</f>
        <v/>
      </c>
      <c r="H45" s="12">
        <f>IFERROR(D45/(D45+F45),0)</f>
        <v/>
      </c>
      <c r="I45" s="13">
        <f>IFERROR((D45/C45)/((D45+F45)/(C45+E45))*100,0)</f>
        <v/>
      </c>
      <c r="J45" s="14">
        <f>(H45-G45)*100</f>
        <v/>
      </c>
      <c r="K45" s="11">
        <f>SUMIFS(Datos!$H$2:$H$148,Datos!$A$2:$A$148,$A45,Datos!$B$2:$B$148,$B$2)</f>
        <v/>
      </c>
      <c r="L45" s="11">
        <f>SUMIFS(Datos!$I$2:$I$148,Datos!$A$2:$A$148,$A45,Datos!$B$2:$B$148,$B$2)</f>
        <v/>
      </c>
      <c r="M45" s="11">
        <f>SUMIFS(Datos!$J$2:$J$148,Datos!$A$2:$A$148,$A45,Datos!$B$2:$B$148,$B$2)</f>
        <v/>
      </c>
      <c r="N45" s="11">
        <f>SUMIFS(Datos!$K$2:$K$148,Datos!$A$2:$A$148,$A45,Datos!$B$2:$B$148,$B$2)</f>
        <v/>
      </c>
      <c r="O45" s="12">
        <f>IFERROR(K45/(K45+M45),0)</f>
        <v/>
      </c>
      <c r="P45" s="12">
        <f>IFERROR(L45/(L45+N45),0)</f>
        <v/>
      </c>
      <c r="Q45" s="13">
        <f>IFERROR((L45/K45)/((L45+N45)/(K45+M45))*100,0)</f>
        <v/>
      </c>
      <c r="R45" s="14">
        <f>(P45-O45)*100</f>
        <v/>
      </c>
      <c r="S45" s="11">
        <f>SUMIFS(Datos!$L$2:$L$148,Datos!$A$2:$A$148,$A45,Datos!$B$2:$B$148,$B$2)</f>
        <v/>
      </c>
      <c r="T45" s="11">
        <f>SUMIFS(Datos!$M$2:$M$148,Datos!$A$2:$A$148,$A45,Datos!$B$2:$B$148,$B$2)</f>
        <v/>
      </c>
      <c r="U45" s="11">
        <f>SUMIFS(Datos!$N$2:$N$148,Datos!$A$2:$A$148,$A45,Datos!$B$2:$B$148,$B$2)</f>
        <v/>
      </c>
      <c r="V45" s="11">
        <f>SUMIFS(Datos!$O$2:$O$148,Datos!$A$2:$A$148,$A45,Datos!$B$2:$B$148,$B$2)</f>
        <v/>
      </c>
      <c r="W45" s="12">
        <f>IFERROR(S45/(S45+U45),0)</f>
        <v/>
      </c>
      <c r="X45" s="12">
        <f>IFERROR(T45/(T45+V45),0)</f>
        <v/>
      </c>
      <c r="Y45" s="13">
        <f>IFERROR((T45/S45)/((T45+V45)/(S45+U45))*100,0)</f>
        <v/>
      </c>
      <c r="Z45" s="14">
        <f>(X45-W45)*100</f>
        <v/>
      </c>
    </row>
    <row r="46">
      <c r="A46" s="9" t="inlineStr">
        <is>
          <t>LURAP</t>
        </is>
      </c>
      <c r="B46" s="10" t="inlineStr">
        <is>
          <t>LURASIDONE</t>
        </is>
      </c>
      <c r="C46" s="11">
        <f>SUMIFS(Datos!$D$2:$D$148,Datos!$A$2:$A$148,$A46,Datos!$B$2:$B$148,$B$2)</f>
        <v/>
      </c>
      <c r="D46" s="11">
        <f>SUMIFS(Datos!$E$2:$E$148,Datos!$A$2:$A$148,$A46,Datos!$B$2:$B$148,$B$2)</f>
        <v/>
      </c>
      <c r="E46" s="11">
        <f>SUMIFS(Datos!$F$2:$F$148,Datos!$A$2:$A$148,$A46,Datos!$B$2:$B$148,$B$2)</f>
        <v/>
      </c>
      <c r="F46" s="11">
        <f>SUMIFS(Datos!$G$2:$G$148,Datos!$A$2:$A$148,$A46,Datos!$B$2:$B$148,$B$2)</f>
        <v/>
      </c>
      <c r="G46" s="12">
        <f>IFERROR(C46/(C46+E46),0)</f>
        <v/>
      </c>
      <c r="H46" s="12">
        <f>IFERROR(D46/(D46+F46),0)</f>
        <v/>
      </c>
      <c r="I46" s="13">
        <f>IFERROR((D46/C46)/((D46+F46)/(C46+E46))*100,0)</f>
        <v/>
      </c>
      <c r="J46" s="14">
        <f>(H46-G46)*100</f>
        <v/>
      </c>
      <c r="K46" s="11">
        <f>SUMIFS(Datos!$H$2:$H$148,Datos!$A$2:$A$148,$A46,Datos!$B$2:$B$148,$B$2)</f>
        <v/>
      </c>
      <c r="L46" s="11">
        <f>SUMIFS(Datos!$I$2:$I$148,Datos!$A$2:$A$148,$A46,Datos!$B$2:$B$148,$B$2)</f>
        <v/>
      </c>
      <c r="M46" s="11">
        <f>SUMIFS(Datos!$J$2:$J$148,Datos!$A$2:$A$148,$A46,Datos!$B$2:$B$148,$B$2)</f>
        <v/>
      </c>
      <c r="N46" s="11">
        <f>SUMIFS(Datos!$K$2:$K$148,Datos!$A$2:$A$148,$A46,Datos!$B$2:$B$148,$B$2)</f>
        <v/>
      </c>
      <c r="O46" s="12">
        <f>IFERROR(K46/(K46+M46),0)</f>
        <v/>
      </c>
      <c r="P46" s="12">
        <f>IFERROR(L46/(L46+N46),0)</f>
        <v/>
      </c>
      <c r="Q46" s="13">
        <f>IFERROR((L46/K46)/((L46+N46)/(K46+M46))*100,0)</f>
        <v/>
      </c>
      <c r="R46" s="14">
        <f>(P46-O46)*100</f>
        <v/>
      </c>
      <c r="S46" s="11">
        <f>SUMIFS(Datos!$L$2:$L$148,Datos!$A$2:$A$148,$A46,Datos!$B$2:$B$148,$B$2)</f>
        <v/>
      </c>
      <c r="T46" s="11">
        <f>SUMIFS(Datos!$M$2:$M$148,Datos!$A$2:$A$148,$A46,Datos!$B$2:$B$148,$B$2)</f>
        <v/>
      </c>
      <c r="U46" s="11">
        <f>SUMIFS(Datos!$N$2:$N$148,Datos!$A$2:$A$148,$A46,Datos!$B$2:$B$148,$B$2)</f>
        <v/>
      </c>
      <c r="V46" s="11">
        <f>SUMIFS(Datos!$O$2:$O$148,Datos!$A$2:$A$148,$A46,Datos!$B$2:$B$148,$B$2)</f>
        <v/>
      </c>
      <c r="W46" s="12">
        <f>IFERROR(S46/(S46+U46),0)</f>
        <v/>
      </c>
      <c r="X46" s="12">
        <f>IFERROR(T46/(T46+V46),0)</f>
        <v/>
      </c>
      <c r="Y46" s="13">
        <f>IFERROR((T46/S46)/((T46+V46)/(S46+U46))*100,0)</f>
        <v/>
      </c>
      <c r="Z46" s="14">
        <f>(X46-W46)*100</f>
        <v/>
      </c>
    </row>
    <row r="47">
      <c r="A47" s="9" t="inlineStr">
        <is>
          <t>BREXIL</t>
        </is>
      </c>
      <c r="B47" s="10" t="inlineStr">
        <is>
          <t>BREXPIPRAZOLE</t>
        </is>
      </c>
      <c r="C47" s="11">
        <f>SUMIFS(Datos!$D$2:$D$148,Datos!$A$2:$A$148,$A47,Datos!$B$2:$B$148,$B$2)</f>
        <v/>
      </c>
      <c r="D47" s="11">
        <f>SUMIFS(Datos!$E$2:$E$148,Datos!$A$2:$A$148,$A47,Datos!$B$2:$B$148,$B$2)</f>
        <v/>
      </c>
      <c r="E47" s="11">
        <f>SUMIFS(Datos!$F$2:$F$148,Datos!$A$2:$A$148,$A47,Datos!$B$2:$B$148,$B$2)</f>
        <v/>
      </c>
      <c r="F47" s="11">
        <f>SUMIFS(Datos!$G$2:$G$148,Datos!$A$2:$A$148,$A47,Datos!$B$2:$B$148,$B$2)</f>
        <v/>
      </c>
      <c r="G47" s="12">
        <f>IFERROR(C47/(C47+E47),0)</f>
        <v/>
      </c>
      <c r="H47" s="12">
        <f>IFERROR(D47/(D47+F47),0)</f>
        <v/>
      </c>
      <c r="I47" s="13">
        <f>IFERROR((D47/C47)/((D47+F47)/(C47+E47))*100,0)</f>
        <v/>
      </c>
      <c r="J47" s="14">
        <f>(H47-G47)*100</f>
        <v/>
      </c>
      <c r="K47" s="11">
        <f>SUMIFS(Datos!$H$2:$H$148,Datos!$A$2:$A$148,$A47,Datos!$B$2:$B$148,$B$2)</f>
        <v/>
      </c>
      <c r="L47" s="11">
        <f>SUMIFS(Datos!$I$2:$I$148,Datos!$A$2:$A$148,$A47,Datos!$B$2:$B$148,$B$2)</f>
        <v/>
      </c>
      <c r="M47" s="11">
        <f>SUMIFS(Datos!$J$2:$J$148,Datos!$A$2:$A$148,$A47,Datos!$B$2:$B$148,$B$2)</f>
        <v/>
      </c>
      <c r="N47" s="11">
        <f>SUMIFS(Datos!$K$2:$K$148,Datos!$A$2:$A$148,$A47,Datos!$B$2:$B$148,$B$2)</f>
        <v/>
      </c>
      <c r="O47" s="12">
        <f>IFERROR(K47/(K47+M47),0)</f>
        <v/>
      </c>
      <c r="P47" s="12">
        <f>IFERROR(L47/(L47+N47),0)</f>
        <v/>
      </c>
      <c r="Q47" s="13">
        <f>IFERROR((L47/K47)/((L47+N47)/(K47+M47))*100,0)</f>
        <v/>
      </c>
      <c r="R47" s="14">
        <f>(P47-O47)*100</f>
        <v/>
      </c>
      <c r="S47" s="11">
        <f>SUMIFS(Datos!$L$2:$L$148,Datos!$A$2:$A$148,$A47,Datos!$B$2:$B$148,$B$2)</f>
        <v/>
      </c>
      <c r="T47" s="11">
        <f>SUMIFS(Datos!$M$2:$M$148,Datos!$A$2:$A$148,$A47,Datos!$B$2:$B$148,$B$2)</f>
        <v/>
      </c>
      <c r="U47" s="11">
        <f>SUMIFS(Datos!$N$2:$N$148,Datos!$A$2:$A$148,$A47,Datos!$B$2:$B$148,$B$2)</f>
        <v/>
      </c>
      <c r="V47" s="11">
        <f>SUMIFS(Datos!$O$2:$O$148,Datos!$A$2:$A$148,$A47,Datos!$B$2:$B$148,$B$2)</f>
        <v/>
      </c>
      <c r="W47" s="12">
        <f>IFERROR(S47/(S47+U47),0)</f>
        <v/>
      </c>
      <c r="X47" s="12">
        <f>IFERROR(T47/(T47+V47),0)</f>
        <v/>
      </c>
      <c r="Y47" s="13">
        <f>IFERROR((T47/S47)/((T47+V47)/(S47+U47))*100,0)</f>
        <v/>
      </c>
      <c r="Z47" s="14">
        <f>(X47-W47)*100</f>
        <v/>
      </c>
    </row>
    <row r="48">
      <c r="A48" s="9" t="inlineStr">
        <is>
          <t>VALQUIR</t>
        </is>
      </c>
      <c r="B48" s="10" t="inlineStr">
        <is>
          <t>VORTIOXETINE</t>
        </is>
      </c>
      <c r="C48" s="11">
        <f>SUMIFS(Datos!$D$2:$D$148,Datos!$A$2:$A$148,$A48,Datos!$B$2:$B$148,$B$2)</f>
        <v/>
      </c>
      <c r="D48" s="11">
        <f>SUMIFS(Datos!$E$2:$E$148,Datos!$A$2:$A$148,$A48,Datos!$B$2:$B$148,$B$2)</f>
        <v/>
      </c>
      <c r="E48" s="11">
        <f>SUMIFS(Datos!$F$2:$F$148,Datos!$A$2:$A$148,$A48,Datos!$B$2:$B$148,$B$2)</f>
        <v/>
      </c>
      <c r="F48" s="11">
        <f>SUMIFS(Datos!$G$2:$G$148,Datos!$A$2:$A$148,$A48,Datos!$B$2:$B$148,$B$2)</f>
        <v/>
      </c>
      <c r="G48" s="12">
        <f>IFERROR(C48/(C48+E48),0)</f>
        <v/>
      </c>
      <c r="H48" s="12">
        <f>IFERROR(D48/(D48+F48),0)</f>
        <v/>
      </c>
      <c r="I48" s="13">
        <f>IFERROR((D48/C48)/((D48+F48)/(C48+E48))*100,0)</f>
        <v/>
      </c>
      <c r="J48" s="14">
        <f>(H48-G48)*100</f>
        <v/>
      </c>
      <c r="K48" s="11">
        <f>SUMIFS(Datos!$H$2:$H$148,Datos!$A$2:$A$148,$A48,Datos!$B$2:$B$148,$B$2)</f>
        <v/>
      </c>
      <c r="L48" s="11">
        <f>SUMIFS(Datos!$I$2:$I$148,Datos!$A$2:$A$148,$A48,Datos!$B$2:$B$148,$B$2)</f>
        <v/>
      </c>
      <c r="M48" s="11">
        <f>SUMIFS(Datos!$J$2:$J$148,Datos!$A$2:$A$148,$A48,Datos!$B$2:$B$148,$B$2)</f>
        <v/>
      </c>
      <c r="N48" s="11">
        <f>SUMIFS(Datos!$K$2:$K$148,Datos!$A$2:$A$148,$A48,Datos!$B$2:$B$148,$B$2)</f>
        <v/>
      </c>
      <c r="O48" s="12">
        <f>IFERROR(K48/(K48+M48),0)</f>
        <v/>
      </c>
      <c r="P48" s="12">
        <f>IFERROR(L48/(L48+N48),0)</f>
        <v/>
      </c>
      <c r="Q48" s="13">
        <f>IFERROR((L48/K48)/((L48+N48)/(K48+M48))*100,0)</f>
        <v/>
      </c>
      <c r="R48" s="14">
        <f>(P48-O48)*100</f>
        <v/>
      </c>
      <c r="S48" s="11">
        <f>SUMIFS(Datos!$L$2:$L$148,Datos!$A$2:$A$148,$A48,Datos!$B$2:$B$148,$B$2)</f>
        <v/>
      </c>
      <c r="T48" s="11">
        <f>SUMIFS(Datos!$M$2:$M$148,Datos!$A$2:$A$148,$A48,Datos!$B$2:$B$148,$B$2)</f>
        <v/>
      </c>
      <c r="U48" s="11">
        <f>SUMIFS(Datos!$N$2:$N$148,Datos!$A$2:$A$148,$A48,Datos!$B$2:$B$148,$B$2)</f>
        <v/>
      </c>
      <c r="V48" s="11">
        <f>SUMIFS(Datos!$O$2:$O$148,Datos!$A$2:$A$148,$A48,Datos!$B$2:$B$148,$B$2)</f>
        <v/>
      </c>
      <c r="W48" s="12">
        <f>IFERROR(S48/(S48+U48),0)</f>
        <v/>
      </c>
      <c r="X48" s="12">
        <f>IFERROR(T48/(T48+V48),0)</f>
        <v/>
      </c>
      <c r="Y48" s="13">
        <f>IFERROR((T48/S48)/((T48+V48)/(S48+U48))*100,0)</f>
        <v/>
      </c>
      <c r="Z48" s="14">
        <f>(X48-W48)*100</f>
        <v/>
      </c>
    </row>
    <row r="49">
      <c r="A49" s="9" t="inlineStr">
        <is>
          <t>SIDERBLUT</t>
        </is>
      </c>
      <c r="B49" s="10" t="inlineStr">
        <is>
          <t>ASCORBIC ACID_CYANOCOBALAMIN_FOLIC ACID_IRON FERROUS | CYANOCOBALAMIN_FOLIC ACID_IRON FERROUS | IRON FERROUS</t>
        </is>
      </c>
      <c r="C49" s="11">
        <f>SUMIFS(Datos!$D$2:$D$148,Datos!$A$2:$A$148,$A49,Datos!$B$2:$B$148,$B$2)</f>
        <v/>
      </c>
      <c r="D49" s="11">
        <f>SUMIFS(Datos!$E$2:$E$148,Datos!$A$2:$A$148,$A49,Datos!$B$2:$B$148,$B$2)</f>
        <v/>
      </c>
      <c r="E49" s="11">
        <f>SUMIFS(Datos!$F$2:$F$148,Datos!$A$2:$A$148,$A49,Datos!$B$2:$B$148,$B$2)</f>
        <v/>
      </c>
      <c r="F49" s="11">
        <f>SUMIFS(Datos!$G$2:$G$148,Datos!$A$2:$A$148,$A49,Datos!$B$2:$B$148,$B$2)</f>
        <v/>
      </c>
      <c r="G49" s="12">
        <f>IFERROR(C49/(C49+E49),0)</f>
        <v/>
      </c>
      <c r="H49" s="12">
        <f>IFERROR(D49/(D49+F49),0)</f>
        <v/>
      </c>
      <c r="I49" s="13">
        <f>IFERROR((D49/C49)/((D49+F49)/(C49+E49))*100,0)</f>
        <v/>
      </c>
      <c r="J49" s="14">
        <f>(H49-G49)*100</f>
        <v/>
      </c>
      <c r="K49" s="11">
        <f>SUMIFS(Datos!$H$2:$H$148,Datos!$A$2:$A$148,$A49,Datos!$B$2:$B$148,$B$2)</f>
        <v/>
      </c>
      <c r="L49" s="11">
        <f>SUMIFS(Datos!$I$2:$I$148,Datos!$A$2:$A$148,$A49,Datos!$B$2:$B$148,$B$2)</f>
        <v/>
      </c>
      <c r="M49" s="11">
        <f>SUMIFS(Datos!$J$2:$J$148,Datos!$A$2:$A$148,$A49,Datos!$B$2:$B$148,$B$2)</f>
        <v/>
      </c>
      <c r="N49" s="11">
        <f>SUMIFS(Datos!$K$2:$K$148,Datos!$A$2:$A$148,$A49,Datos!$B$2:$B$148,$B$2)</f>
        <v/>
      </c>
      <c r="O49" s="12">
        <f>IFERROR(K49/(K49+M49),0)</f>
        <v/>
      </c>
      <c r="P49" s="12">
        <f>IFERROR(L49/(L49+N49),0)</f>
        <v/>
      </c>
      <c r="Q49" s="13">
        <f>IFERROR((L49/K49)/((L49+N49)/(K49+M49))*100,0)</f>
        <v/>
      </c>
      <c r="R49" s="14">
        <f>(P49-O49)*100</f>
        <v/>
      </c>
      <c r="S49" s="11">
        <f>SUMIFS(Datos!$L$2:$L$148,Datos!$A$2:$A$148,$A49,Datos!$B$2:$B$148,$B$2)</f>
        <v/>
      </c>
      <c r="T49" s="11">
        <f>SUMIFS(Datos!$M$2:$M$148,Datos!$A$2:$A$148,$A49,Datos!$B$2:$B$148,$B$2)</f>
        <v/>
      </c>
      <c r="U49" s="11">
        <f>SUMIFS(Datos!$N$2:$N$148,Datos!$A$2:$A$148,$A49,Datos!$B$2:$B$148,$B$2)</f>
        <v/>
      </c>
      <c r="V49" s="11">
        <f>SUMIFS(Datos!$O$2:$O$148,Datos!$A$2:$A$148,$A49,Datos!$B$2:$B$148,$B$2)</f>
        <v/>
      </c>
      <c r="W49" s="12">
        <f>IFERROR(S49/(S49+U49),0)</f>
        <v/>
      </c>
      <c r="X49" s="12">
        <f>IFERROR(T49/(T49+V49),0)</f>
        <v/>
      </c>
      <c r="Y49" s="13">
        <f>IFERROR((T49/S49)/((T49+V49)/(S49+U49))*100,0)</f>
        <v/>
      </c>
      <c r="Z49" s="14">
        <f>(X49-W49)*100</f>
        <v/>
      </c>
    </row>
    <row r="50">
      <c r="A50" s="9" t="inlineStr">
        <is>
          <t>NEBILET</t>
        </is>
      </c>
      <c r="B50" s="10" t="inlineStr">
        <is>
          <t>HYDROCHLOROTHIAZIDE_NEBIVOLOL | NEBIVOLOL</t>
        </is>
      </c>
      <c r="C50" s="11">
        <f>SUMIFS(Datos!$D$2:$D$148,Datos!$A$2:$A$148,$A50,Datos!$B$2:$B$148,$B$2)</f>
        <v/>
      </c>
      <c r="D50" s="11">
        <f>SUMIFS(Datos!$E$2:$E$148,Datos!$A$2:$A$148,$A50,Datos!$B$2:$B$148,$B$2)</f>
        <v/>
      </c>
      <c r="E50" s="11">
        <f>SUMIFS(Datos!$F$2:$F$148,Datos!$A$2:$A$148,$A50,Datos!$B$2:$B$148,$B$2)</f>
        <v/>
      </c>
      <c r="F50" s="11">
        <f>SUMIFS(Datos!$G$2:$G$148,Datos!$A$2:$A$148,$A50,Datos!$B$2:$B$148,$B$2)</f>
        <v/>
      </c>
      <c r="G50" s="12">
        <f>IFERROR(C50/(C50+E50),0)</f>
        <v/>
      </c>
      <c r="H50" s="12">
        <f>IFERROR(D50/(D50+F50),0)</f>
        <v/>
      </c>
      <c r="I50" s="13">
        <f>IFERROR((D50/C50)/((D50+F50)/(C50+E50))*100,0)</f>
        <v/>
      </c>
      <c r="J50" s="14">
        <f>(H50-G50)*100</f>
        <v/>
      </c>
      <c r="K50" s="11">
        <f>SUMIFS(Datos!$H$2:$H$148,Datos!$A$2:$A$148,$A50,Datos!$B$2:$B$148,$B$2)</f>
        <v/>
      </c>
      <c r="L50" s="11">
        <f>SUMIFS(Datos!$I$2:$I$148,Datos!$A$2:$A$148,$A50,Datos!$B$2:$B$148,$B$2)</f>
        <v/>
      </c>
      <c r="M50" s="11">
        <f>SUMIFS(Datos!$J$2:$J$148,Datos!$A$2:$A$148,$A50,Datos!$B$2:$B$148,$B$2)</f>
        <v/>
      </c>
      <c r="N50" s="11">
        <f>SUMIFS(Datos!$K$2:$K$148,Datos!$A$2:$A$148,$A50,Datos!$B$2:$B$148,$B$2)</f>
        <v/>
      </c>
      <c r="O50" s="12">
        <f>IFERROR(K50/(K50+M50),0)</f>
        <v/>
      </c>
      <c r="P50" s="12">
        <f>IFERROR(L50/(L50+N50),0)</f>
        <v/>
      </c>
      <c r="Q50" s="13">
        <f>IFERROR((L50/K50)/((L50+N50)/(K50+M50))*100,0)</f>
        <v/>
      </c>
      <c r="R50" s="14">
        <f>(P50-O50)*100</f>
        <v/>
      </c>
      <c r="S50" s="11">
        <f>SUMIFS(Datos!$L$2:$L$148,Datos!$A$2:$A$148,$A50,Datos!$B$2:$B$148,$B$2)</f>
        <v/>
      </c>
      <c r="T50" s="11">
        <f>SUMIFS(Datos!$M$2:$M$148,Datos!$A$2:$A$148,$A50,Datos!$B$2:$B$148,$B$2)</f>
        <v/>
      </c>
      <c r="U50" s="11">
        <f>SUMIFS(Datos!$N$2:$N$148,Datos!$A$2:$A$148,$A50,Datos!$B$2:$B$148,$B$2)</f>
        <v/>
      </c>
      <c r="V50" s="11">
        <f>SUMIFS(Datos!$O$2:$O$148,Datos!$A$2:$A$148,$A50,Datos!$B$2:$B$148,$B$2)</f>
        <v/>
      </c>
      <c r="W50" s="12">
        <f>IFERROR(S50/(S50+U50),0)</f>
        <v/>
      </c>
      <c r="X50" s="12">
        <f>IFERROR(T50/(T50+V50),0)</f>
        <v/>
      </c>
      <c r="Y50" s="13">
        <f>IFERROR((T50/S50)/((T50+V50)/(S50+U50))*100,0)</f>
        <v/>
      </c>
      <c r="Z50" s="14">
        <f>(X50-W50)*100</f>
        <v/>
      </c>
    </row>
    <row r="51">
      <c r="A51" s="9" t="inlineStr">
        <is>
          <t>EXFORGE</t>
        </is>
      </c>
      <c r="B51" s="10" t="inlineStr">
        <is>
          <t>AMLODIPINE_HYDROCHLOROTHIAZIDE_VALSARTAN | AMLODIPINE_VALSARTAN</t>
        </is>
      </c>
      <c r="C51" s="11">
        <f>SUMIFS(Datos!$D$2:$D$148,Datos!$A$2:$A$148,$A51,Datos!$B$2:$B$148,$B$2)</f>
        <v/>
      </c>
      <c r="D51" s="11">
        <f>SUMIFS(Datos!$E$2:$E$148,Datos!$A$2:$A$148,$A51,Datos!$B$2:$B$148,$B$2)</f>
        <v/>
      </c>
      <c r="E51" s="11">
        <f>SUMIFS(Datos!$F$2:$F$148,Datos!$A$2:$A$148,$A51,Datos!$B$2:$B$148,$B$2)</f>
        <v/>
      </c>
      <c r="F51" s="11">
        <f>SUMIFS(Datos!$G$2:$G$148,Datos!$A$2:$A$148,$A51,Datos!$B$2:$B$148,$B$2)</f>
        <v/>
      </c>
      <c r="G51" s="12">
        <f>IFERROR(C51/(C51+E51),0)</f>
        <v/>
      </c>
      <c r="H51" s="12">
        <f>IFERROR(D51/(D51+F51),0)</f>
        <v/>
      </c>
      <c r="I51" s="13">
        <f>IFERROR((D51/C51)/((D51+F51)/(C51+E51))*100,0)</f>
        <v/>
      </c>
      <c r="J51" s="14">
        <f>(H51-G51)*100</f>
        <v/>
      </c>
      <c r="K51" s="11">
        <f>SUMIFS(Datos!$H$2:$H$148,Datos!$A$2:$A$148,$A51,Datos!$B$2:$B$148,$B$2)</f>
        <v/>
      </c>
      <c r="L51" s="11">
        <f>SUMIFS(Datos!$I$2:$I$148,Datos!$A$2:$A$148,$A51,Datos!$B$2:$B$148,$B$2)</f>
        <v/>
      </c>
      <c r="M51" s="11">
        <f>SUMIFS(Datos!$J$2:$J$148,Datos!$A$2:$A$148,$A51,Datos!$B$2:$B$148,$B$2)</f>
        <v/>
      </c>
      <c r="N51" s="11">
        <f>SUMIFS(Datos!$K$2:$K$148,Datos!$A$2:$A$148,$A51,Datos!$B$2:$B$148,$B$2)</f>
        <v/>
      </c>
      <c r="O51" s="12">
        <f>IFERROR(K51/(K51+M51),0)</f>
        <v/>
      </c>
      <c r="P51" s="12">
        <f>IFERROR(L51/(L51+N51),0)</f>
        <v/>
      </c>
      <c r="Q51" s="13">
        <f>IFERROR((L51/K51)/((L51+N51)/(K51+M51))*100,0)</f>
        <v/>
      </c>
      <c r="R51" s="14">
        <f>(P51-O51)*100</f>
        <v/>
      </c>
      <c r="S51" s="11">
        <f>SUMIFS(Datos!$L$2:$L$148,Datos!$A$2:$A$148,$A51,Datos!$B$2:$B$148,$B$2)</f>
        <v/>
      </c>
      <c r="T51" s="11">
        <f>SUMIFS(Datos!$M$2:$M$148,Datos!$A$2:$A$148,$A51,Datos!$B$2:$B$148,$B$2)</f>
        <v/>
      </c>
      <c r="U51" s="11">
        <f>SUMIFS(Datos!$N$2:$N$148,Datos!$A$2:$A$148,$A51,Datos!$B$2:$B$148,$B$2)</f>
        <v/>
      </c>
      <c r="V51" s="11">
        <f>SUMIFS(Datos!$O$2:$O$148,Datos!$A$2:$A$148,$A51,Datos!$B$2:$B$148,$B$2)</f>
        <v/>
      </c>
      <c r="W51" s="12">
        <f>IFERROR(S51/(S51+U51),0)</f>
        <v/>
      </c>
      <c r="X51" s="12">
        <f>IFERROR(T51/(T51+V51),0)</f>
        <v/>
      </c>
      <c r="Y51" s="13">
        <f>IFERROR((T51/S51)/((T51+V51)/(S51+U51))*100,0)</f>
        <v/>
      </c>
      <c r="Z51" s="14">
        <f>(X51-W51)*100</f>
        <v/>
      </c>
    </row>
    <row r="52">
      <c r="A52" s="9" t="inlineStr">
        <is>
          <t>ISIS NAT</t>
        </is>
      </c>
      <c r="B52" s="10" t="inlineStr">
        <is>
          <t>DROSPIRENONE_ESTETROL</t>
        </is>
      </c>
      <c r="C52" s="11">
        <f>SUMIFS(Datos!$D$2:$D$148,Datos!$A$2:$A$148,$A52,Datos!$B$2:$B$148,$B$2)</f>
        <v/>
      </c>
      <c r="D52" s="11">
        <f>SUMIFS(Datos!$E$2:$E$148,Datos!$A$2:$A$148,$A52,Datos!$B$2:$B$148,$B$2)</f>
        <v/>
      </c>
      <c r="E52" s="11">
        <f>SUMIFS(Datos!$F$2:$F$148,Datos!$A$2:$A$148,$A52,Datos!$B$2:$B$148,$B$2)</f>
        <v/>
      </c>
      <c r="F52" s="11">
        <f>SUMIFS(Datos!$G$2:$G$148,Datos!$A$2:$A$148,$A52,Datos!$B$2:$B$148,$B$2)</f>
        <v/>
      </c>
      <c r="G52" s="12">
        <f>IFERROR(C52/(C52+E52),0)</f>
        <v/>
      </c>
      <c r="H52" s="12">
        <f>IFERROR(D52/(D52+F52),0)</f>
        <v/>
      </c>
      <c r="I52" s="13">
        <f>IFERROR((D52/C52)/((D52+F52)/(C52+E52))*100,0)</f>
        <v/>
      </c>
      <c r="J52" s="14">
        <f>(H52-G52)*100</f>
        <v/>
      </c>
      <c r="K52" s="11">
        <f>SUMIFS(Datos!$H$2:$H$148,Datos!$A$2:$A$148,$A52,Datos!$B$2:$B$148,$B$2)</f>
        <v/>
      </c>
      <c r="L52" s="11">
        <f>SUMIFS(Datos!$I$2:$I$148,Datos!$A$2:$A$148,$A52,Datos!$B$2:$B$148,$B$2)</f>
        <v/>
      </c>
      <c r="M52" s="11">
        <f>SUMIFS(Datos!$J$2:$J$148,Datos!$A$2:$A$148,$A52,Datos!$B$2:$B$148,$B$2)</f>
        <v/>
      </c>
      <c r="N52" s="11">
        <f>SUMIFS(Datos!$K$2:$K$148,Datos!$A$2:$A$148,$A52,Datos!$B$2:$B$148,$B$2)</f>
        <v/>
      </c>
      <c r="O52" s="12">
        <f>IFERROR(K52/(K52+M52),0)</f>
        <v/>
      </c>
      <c r="P52" s="12">
        <f>IFERROR(L52/(L52+N52),0)</f>
        <v/>
      </c>
      <c r="Q52" s="13">
        <f>IFERROR((L52/K52)/((L52+N52)/(K52+M52))*100,0)</f>
        <v/>
      </c>
      <c r="R52" s="14">
        <f>(P52-O52)*100</f>
        <v/>
      </c>
      <c r="S52" s="11">
        <f>SUMIFS(Datos!$L$2:$L$148,Datos!$A$2:$A$148,$A52,Datos!$B$2:$B$148,$B$2)</f>
        <v/>
      </c>
      <c r="T52" s="11">
        <f>SUMIFS(Datos!$M$2:$M$148,Datos!$A$2:$A$148,$A52,Datos!$B$2:$B$148,$B$2)</f>
        <v/>
      </c>
      <c r="U52" s="11">
        <f>SUMIFS(Datos!$N$2:$N$148,Datos!$A$2:$A$148,$A52,Datos!$B$2:$B$148,$B$2)</f>
        <v/>
      </c>
      <c r="V52" s="11">
        <f>SUMIFS(Datos!$O$2:$O$148,Datos!$A$2:$A$148,$A52,Datos!$B$2:$B$148,$B$2)</f>
        <v/>
      </c>
      <c r="W52" s="12">
        <f>IFERROR(S52/(S52+U52),0)</f>
        <v/>
      </c>
      <c r="X52" s="12">
        <f>IFERROR(T52/(T52+V52),0)</f>
        <v/>
      </c>
      <c r="Y52" s="13">
        <f>IFERROR((T52/S52)/((T52+V52)/(S52+U52))*100,0)</f>
        <v/>
      </c>
      <c r="Z52" s="14">
        <f>(X52-W52)*100</f>
        <v/>
      </c>
    </row>
    <row r="53">
      <c r="A53" s="9" t="inlineStr">
        <is>
          <t>GYNODERM</t>
        </is>
      </c>
      <c r="B53" s="10" t="inlineStr">
        <is>
          <t>ALOE BARBADENSIS_COLLAGEN_HYALURONIC ACID | DL-LACTIC ACID | DL-LACTIC ACID_HYALURONIC ACID</t>
        </is>
      </c>
      <c r="C53" s="11">
        <f>SUMIFS(Datos!$D$2:$D$148,Datos!$A$2:$A$148,$A53,Datos!$B$2:$B$148,$B$2)</f>
        <v/>
      </c>
      <c r="D53" s="11">
        <f>SUMIFS(Datos!$E$2:$E$148,Datos!$A$2:$A$148,$A53,Datos!$B$2:$B$148,$B$2)</f>
        <v/>
      </c>
      <c r="E53" s="11">
        <f>SUMIFS(Datos!$F$2:$F$148,Datos!$A$2:$A$148,$A53,Datos!$B$2:$B$148,$B$2)</f>
        <v/>
      </c>
      <c r="F53" s="11">
        <f>SUMIFS(Datos!$G$2:$G$148,Datos!$A$2:$A$148,$A53,Datos!$B$2:$B$148,$B$2)</f>
        <v/>
      </c>
      <c r="G53" s="12">
        <f>IFERROR(C53/(C53+E53),0)</f>
        <v/>
      </c>
      <c r="H53" s="12">
        <f>IFERROR(D53/(D53+F53),0)</f>
        <v/>
      </c>
      <c r="I53" s="13">
        <f>IFERROR((D53/C53)/((D53+F53)/(C53+E53))*100,0)</f>
        <v/>
      </c>
      <c r="J53" s="14">
        <f>(H53-G53)*100</f>
        <v/>
      </c>
      <c r="K53" s="11">
        <f>SUMIFS(Datos!$H$2:$H$148,Datos!$A$2:$A$148,$A53,Datos!$B$2:$B$148,$B$2)</f>
        <v/>
      </c>
      <c r="L53" s="11">
        <f>SUMIFS(Datos!$I$2:$I$148,Datos!$A$2:$A$148,$A53,Datos!$B$2:$B$148,$B$2)</f>
        <v/>
      </c>
      <c r="M53" s="11">
        <f>SUMIFS(Datos!$J$2:$J$148,Datos!$A$2:$A$148,$A53,Datos!$B$2:$B$148,$B$2)</f>
        <v/>
      </c>
      <c r="N53" s="11">
        <f>SUMIFS(Datos!$K$2:$K$148,Datos!$A$2:$A$148,$A53,Datos!$B$2:$B$148,$B$2)</f>
        <v/>
      </c>
      <c r="O53" s="12">
        <f>IFERROR(K53/(K53+M53),0)</f>
        <v/>
      </c>
      <c r="P53" s="12">
        <f>IFERROR(L53/(L53+N53),0)</f>
        <v/>
      </c>
      <c r="Q53" s="13">
        <f>IFERROR((L53/K53)/((L53+N53)/(K53+M53))*100,0)</f>
        <v/>
      </c>
      <c r="R53" s="14">
        <f>(P53-O53)*100</f>
        <v/>
      </c>
      <c r="S53" s="11">
        <f>SUMIFS(Datos!$L$2:$L$148,Datos!$A$2:$A$148,$A53,Datos!$B$2:$B$148,$B$2)</f>
        <v/>
      </c>
      <c r="T53" s="11">
        <f>SUMIFS(Datos!$M$2:$M$148,Datos!$A$2:$A$148,$A53,Datos!$B$2:$B$148,$B$2)</f>
        <v/>
      </c>
      <c r="U53" s="11">
        <f>SUMIFS(Datos!$N$2:$N$148,Datos!$A$2:$A$148,$A53,Datos!$B$2:$B$148,$B$2)</f>
        <v/>
      </c>
      <c r="V53" s="11">
        <f>SUMIFS(Datos!$O$2:$O$148,Datos!$A$2:$A$148,$A53,Datos!$B$2:$B$148,$B$2)</f>
        <v/>
      </c>
      <c r="W53" s="12">
        <f>IFERROR(S53/(S53+U53),0)</f>
        <v/>
      </c>
      <c r="X53" s="12">
        <f>IFERROR(T53/(T53+V53),0)</f>
        <v/>
      </c>
      <c r="Y53" s="13">
        <f>IFERROR((T53/S53)/((T53+V53)/(S53+U53))*100,0)</f>
        <v/>
      </c>
      <c r="Z53" s="14">
        <f>(X53-W53)*100</f>
        <v/>
      </c>
    </row>
    <row r="55">
      <c r="A55" s="15" t="inlineStr">
        <is>
          <t>TOTAL CARTERA</t>
        </is>
      </c>
      <c r="B55" s="15" t="n"/>
      <c r="C55" s="16">
        <f>SUM(C5:C53)</f>
        <v/>
      </c>
      <c r="D55" s="16">
        <f>SUM(D5:D53)</f>
        <v/>
      </c>
      <c r="E55" s="16">
        <f>SUM(E5:E53)</f>
        <v/>
      </c>
      <c r="F55" s="16">
        <f>SUM(F5:F53)</f>
        <v/>
      </c>
      <c r="G55" s="17">
        <f>IFERROR(C55/(C55+E55),0)</f>
        <v/>
      </c>
      <c r="H55" s="17">
        <f>IFERROR(D55/(D55+F55),0)</f>
        <v/>
      </c>
      <c r="I55" s="18">
        <f>IFERROR((D55/C55)/((D55+F55)/(C55+E55))*100,0)</f>
        <v/>
      </c>
      <c r="J55" s="19">
        <f>(H55-G55)*100</f>
        <v/>
      </c>
      <c r="K55" s="16">
        <f>SUM(K5:K53)</f>
        <v/>
      </c>
      <c r="L55" s="16">
        <f>SUM(L5:L53)</f>
        <v/>
      </c>
      <c r="M55" s="16">
        <f>SUM(M5:M53)</f>
        <v/>
      </c>
      <c r="N55" s="16">
        <f>SUM(N5:N53)</f>
        <v/>
      </c>
      <c r="O55" s="17">
        <f>IFERROR(K55/(K55+M55),0)</f>
        <v/>
      </c>
      <c r="P55" s="17">
        <f>IFERROR(L55/(L55+N55),0)</f>
        <v/>
      </c>
      <c r="Q55" s="18">
        <f>IFERROR((L55/K55)/((L55+N55)/(K55+M55))*100,0)</f>
        <v/>
      </c>
      <c r="R55" s="19">
        <f>(P55-O55)*100</f>
        <v/>
      </c>
      <c r="S55" s="16">
        <f>SUM(S5:S53)</f>
        <v/>
      </c>
      <c r="T55" s="16">
        <f>SUM(T5:T53)</f>
        <v/>
      </c>
      <c r="U55" s="16">
        <f>SUM(U5:U53)</f>
        <v/>
      </c>
      <c r="V55" s="16">
        <f>SUM(V5:V53)</f>
        <v/>
      </c>
      <c r="W55" s="17">
        <f>IFERROR(S55/(S55+U55),0)</f>
        <v/>
      </c>
      <c r="X55" s="17">
        <f>IFERROR(T55/(T55+V55),0)</f>
        <v/>
      </c>
      <c r="Y55" s="18">
        <f>IFERROR((T55/S55)/((T55+V55)/(S55+U55))*100,0)</f>
        <v/>
      </c>
      <c r="Z55" s="19">
        <f>(X55-W55)*100</f>
        <v/>
      </c>
    </row>
  </sheetData>
  <mergeCells count="5">
    <mergeCell ref="C3:J3"/>
    <mergeCell ref="S3:Z3"/>
    <mergeCell ref="K3:R3"/>
    <mergeCell ref="A1:Z1"/>
    <mergeCell ref="D2:Z2"/>
  </mergeCells>
  <conditionalFormatting sqref="J5:J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R5:R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Z5:Z53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5:I53">
    <cfRule type="cellIs" priority="7" operator="greaterThan" dxfId="0">
      <formula>100</formula>
    </cfRule>
    <cfRule type="cellIs" priority="8" operator="lessThan" dxfId="1">
      <formula>100</formula>
    </cfRule>
  </conditionalFormatting>
  <conditionalFormatting sqref="Q5:Q53">
    <cfRule type="cellIs" priority="9" operator="greaterThan" dxfId="0">
      <formula>100</formula>
    </cfRule>
    <cfRule type="cellIs" priority="10" operator="lessThan" dxfId="1">
      <formula>100</formula>
    </cfRule>
  </conditionalFormatting>
  <conditionalFormatting sqref="Y5:Y53">
    <cfRule type="cellIs" priority="11" operator="greaterThan" dxfId="0">
      <formula>100</formula>
    </cfRule>
    <cfRule type="cellIs" priority="12" operator="lessThan" dxfId="1">
      <formula>100</formula>
    </cfRule>
  </conditionalFormatting>
  <dataValidations count="1">
    <dataValidation sqref="B2" showDropDown="0" showInputMessage="0" showErrorMessage="0" allowBlank="0" promptTitle="Segmento" prompt="Elegí TOTAL, ETICO o POPULAR" type="list">
      <formula1>"TOTAL,ETICO,POPULAR"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0" t="inlineStr">
        <is>
          <t>Marca</t>
        </is>
      </c>
      <c r="B1" s="20" t="inlineStr">
        <is>
          <t>Segmento</t>
        </is>
      </c>
      <c r="C1" s="20" t="inlineStr">
        <is>
          <t>Moleculas</t>
        </is>
      </c>
      <c r="D1" s="20" t="inlineStr">
        <is>
          <t>BMA</t>
        </is>
      </c>
      <c r="E1" s="20" t="inlineStr">
        <is>
          <t>BMC</t>
        </is>
      </c>
      <c r="F1" s="20" t="inlineStr">
        <is>
          <t>MMA</t>
        </is>
      </c>
      <c r="G1" s="20" t="inlineStr">
        <is>
          <t>MMC</t>
        </is>
      </c>
      <c r="H1" s="20" t="inlineStr">
        <is>
          <t>BYA</t>
        </is>
      </c>
      <c r="I1" s="20" t="inlineStr">
        <is>
          <t>BYC</t>
        </is>
      </c>
      <c r="J1" s="20" t="inlineStr">
        <is>
          <t>MYA</t>
        </is>
      </c>
      <c r="K1" s="20" t="inlineStr">
        <is>
          <t>MYC</t>
        </is>
      </c>
      <c r="L1" s="20" t="inlineStr">
        <is>
          <t>BPA</t>
        </is>
      </c>
      <c r="M1" s="20" t="inlineStr">
        <is>
          <t>BPC</t>
        </is>
      </c>
      <c r="N1" s="20" t="inlineStr">
        <is>
          <t>MPA</t>
        </is>
      </c>
      <c r="O1" s="20" t="inlineStr">
        <is>
          <t>MPC</t>
        </is>
      </c>
    </row>
    <row r="2">
      <c r="A2" t="inlineStr">
        <is>
          <t>ACEMUK</t>
        </is>
      </c>
      <c r="B2" t="inlineStr">
        <is>
          <t>TOTAL</t>
        </is>
      </c>
      <c r="C2" t="inlineStr">
        <is>
          <t>ACETYLCYSTEINE | ACETYLCYSTEINE_AMOXICILLIN | ACETYLCYSTEINE_CHLORPHENAMINE_PARACETAMOL_PSEUDOEPHEDRINE | ACETYLCYSTEINE_LIDOCAINE_TYROTHRICIN | ACETYLCYSTEINE_PARACETAMOL</t>
        </is>
      </c>
      <c r="D2" t="n">
        <v>4213626</v>
      </c>
      <c r="E2" t="n">
        <v>3917115</v>
      </c>
      <c r="F2" t="n">
        <v>695033</v>
      </c>
      <c r="G2" t="n">
        <v>658902</v>
      </c>
      <c r="H2" t="n">
        <v>987563</v>
      </c>
      <c r="I2" t="n">
        <v>771512</v>
      </c>
      <c r="J2" t="n">
        <v>185584</v>
      </c>
      <c r="K2" t="n">
        <v>156803</v>
      </c>
      <c r="L2" t="n">
        <v>405502</v>
      </c>
      <c r="M2" t="n">
        <v>307310</v>
      </c>
      <c r="N2" t="n">
        <v>74006</v>
      </c>
      <c r="O2" t="n">
        <v>49312</v>
      </c>
    </row>
    <row r="3">
      <c r="A3" t="inlineStr">
        <is>
          <t>ACEMUK</t>
        </is>
      </c>
      <c r="B3" t="inlineStr">
        <is>
          <t>ETICO</t>
        </is>
      </c>
      <c r="C3" t="inlineStr">
        <is>
          <t>ACETYLCYSTEINE | ACETYLCYSTEINE_AMOXICILLIN | ACETYLCYSTEINE_CHLORPHENAMINE_PARACETAMOL_PSEUDOEPHEDRINE | ACETYLCYSTEINE_LIDOCAINE_TYROTHRICIN | ACETYLCYSTEINE_PARACETAMOL</t>
        </is>
      </c>
      <c r="D3" t="n">
        <v>3978109</v>
      </c>
      <c r="E3" t="n">
        <v>3790975</v>
      </c>
      <c r="F3" t="n">
        <v>639645</v>
      </c>
      <c r="G3" t="n">
        <v>621089</v>
      </c>
      <c r="H3" t="n">
        <v>950073</v>
      </c>
      <c r="I3" t="n">
        <v>744778</v>
      </c>
      <c r="J3" t="n">
        <v>165648</v>
      </c>
      <c r="K3" t="n">
        <v>143859</v>
      </c>
      <c r="L3" t="n">
        <v>391175</v>
      </c>
      <c r="M3" t="n">
        <v>296868</v>
      </c>
      <c r="N3" t="n">
        <v>68988</v>
      </c>
      <c r="O3" t="n">
        <v>45512</v>
      </c>
    </row>
    <row r="4">
      <c r="A4" t="inlineStr">
        <is>
          <t>ACEMUK</t>
        </is>
      </c>
      <c r="B4" t="inlineStr">
        <is>
          <t>POPULAR</t>
        </is>
      </c>
      <c r="C4" t="inlineStr">
        <is>
          <t>ACETYLCYSTEINE | ACETYLCYSTEINE_AMOXICILLIN | ACETYLCYSTEINE_CHLORPHENAMINE_PARACETAMOL_PSEUDOEPHEDRINE | ACETYLCYSTEINE_LIDOCAINE_TYROTHRICIN | ACETYLCYSTEINE_PARACETAMOL</t>
        </is>
      </c>
      <c r="D4" t="n">
        <v>235517</v>
      </c>
      <c r="E4" t="n">
        <v>126140</v>
      </c>
      <c r="F4" t="n">
        <v>55388</v>
      </c>
      <c r="G4" t="n">
        <v>37813</v>
      </c>
      <c r="H4" t="n">
        <v>37490</v>
      </c>
      <c r="I4" t="n">
        <v>26734</v>
      </c>
      <c r="J4" t="n">
        <v>19936</v>
      </c>
      <c r="K4" t="n">
        <v>12944</v>
      </c>
      <c r="L4" t="n">
        <v>14327</v>
      </c>
      <c r="M4" t="n">
        <v>10442</v>
      </c>
      <c r="N4" t="n">
        <v>5018</v>
      </c>
      <c r="O4" t="n">
        <v>3800</v>
      </c>
    </row>
    <row r="5">
      <c r="A5" t="inlineStr">
        <is>
          <t>AIREAL</t>
        </is>
      </c>
      <c r="B5" t="inlineStr">
        <is>
          <t>TOTAL</t>
        </is>
      </c>
      <c r="C5" t="inlineStr">
        <is>
          <t>LEVOCETIRIZINE_MONTELUKAST | MONTELUKAST</t>
        </is>
      </c>
      <c r="D5" t="n">
        <v>177683</v>
      </c>
      <c r="E5" t="n">
        <v>233496</v>
      </c>
      <c r="F5" t="n">
        <v>1309572</v>
      </c>
      <c r="G5" t="n">
        <v>1239591</v>
      </c>
      <c r="H5" t="n">
        <v>50640</v>
      </c>
      <c r="I5" t="n">
        <v>69995</v>
      </c>
      <c r="J5" t="n">
        <v>356272</v>
      </c>
      <c r="K5" t="n">
        <v>329045</v>
      </c>
      <c r="L5" t="n">
        <v>17276</v>
      </c>
      <c r="M5" t="n">
        <v>23346</v>
      </c>
      <c r="N5" t="n">
        <v>115951</v>
      </c>
      <c r="O5" t="n">
        <v>101318</v>
      </c>
    </row>
    <row r="6">
      <c r="A6" t="inlineStr">
        <is>
          <t>AIREAL</t>
        </is>
      </c>
      <c r="B6" t="inlineStr">
        <is>
          <t>ETICO</t>
        </is>
      </c>
      <c r="C6" t="inlineStr">
        <is>
          <t>LEVOCETIRIZINE_MONTELUKAST | MONTELUKAST</t>
        </is>
      </c>
      <c r="D6" t="n">
        <v>177683</v>
      </c>
      <c r="E6" t="n">
        <v>233496</v>
      </c>
      <c r="F6" t="n">
        <v>1309572</v>
      </c>
      <c r="G6" t="n">
        <v>1239591</v>
      </c>
      <c r="H6" t="n">
        <v>50640</v>
      </c>
      <c r="I6" t="n">
        <v>69995</v>
      </c>
      <c r="J6" t="n">
        <v>356272</v>
      </c>
      <c r="K6" t="n">
        <v>329045</v>
      </c>
      <c r="L6" t="n">
        <v>17276</v>
      </c>
      <c r="M6" t="n">
        <v>23346</v>
      </c>
      <c r="N6" t="n">
        <v>115951</v>
      </c>
      <c r="O6" t="n">
        <v>101318</v>
      </c>
    </row>
    <row r="7">
      <c r="A7" t="inlineStr">
        <is>
          <t>AIREAL</t>
        </is>
      </c>
      <c r="B7" t="inlineStr">
        <is>
          <t>POPULAR</t>
        </is>
      </c>
      <c r="C7" t="inlineStr">
        <is>
          <t>LEVOCETIRIZINE_MONTELUKAST | MONTELUKAST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HEXALER CORT</t>
        </is>
      </c>
      <c r="B8" t="inlineStr">
        <is>
          <t>TOTAL</t>
        </is>
      </c>
      <c r="C8" t="inlineStr">
        <is>
          <t>BETAMETHASONE_DESLORATADINE</t>
        </is>
      </c>
      <c r="D8" t="n">
        <v>818422</v>
      </c>
      <c r="E8" t="n">
        <v>754220</v>
      </c>
      <c r="F8" t="n">
        <v>2605615</v>
      </c>
      <c r="G8" t="n">
        <v>2595152</v>
      </c>
      <c r="H8" t="n">
        <v>203410</v>
      </c>
      <c r="I8" t="n">
        <v>176452</v>
      </c>
      <c r="J8" t="n">
        <v>682853</v>
      </c>
      <c r="K8" t="n">
        <v>635310</v>
      </c>
      <c r="L8" t="n">
        <v>79083</v>
      </c>
      <c r="M8" t="n">
        <v>66707</v>
      </c>
      <c r="N8" t="n">
        <v>252793</v>
      </c>
      <c r="O8" t="n">
        <v>199451</v>
      </c>
    </row>
    <row r="9">
      <c r="A9" t="inlineStr">
        <is>
          <t>HEXALER CORT</t>
        </is>
      </c>
      <c r="B9" t="inlineStr">
        <is>
          <t>ETICO</t>
        </is>
      </c>
      <c r="C9" t="inlineStr">
        <is>
          <t>BETAMETHASONE_DESLORATADINE</t>
        </is>
      </c>
      <c r="D9" t="n">
        <v>818422</v>
      </c>
      <c r="E9" t="n">
        <v>754220</v>
      </c>
      <c r="F9" t="n">
        <v>2605615</v>
      </c>
      <c r="G9" t="n">
        <v>2595152</v>
      </c>
      <c r="H9" t="n">
        <v>203410</v>
      </c>
      <c r="I9" t="n">
        <v>176452</v>
      </c>
      <c r="J9" t="n">
        <v>682853</v>
      </c>
      <c r="K9" t="n">
        <v>635310</v>
      </c>
      <c r="L9" t="n">
        <v>79083</v>
      </c>
      <c r="M9" t="n">
        <v>66707</v>
      </c>
      <c r="N9" t="n">
        <v>252793</v>
      </c>
      <c r="O9" t="n">
        <v>199451</v>
      </c>
    </row>
    <row r="10">
      <c r="A10" t="inlineStr">
        <is>
          <t>HEXALER CORT</t>
        </is>
      </c>
      <c r="B10" t="inlineStr">
        <is>
          <t>POPULAR</t>
        </is>
      </c>
      <c r="C10" t="inlineStr">
        <is>
          <t>BETAMETHASONE_DESLORATADINE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ALIDIAL</t>
        </is>
      </c>
      <c r="B11" t="inlineStr">
        <is>
          <t>TOTAL</t>
        </is>
      </c>
      <c r="C11" t="inlineStr">
        <is>
          <t>CETIRIZINE</t>
        </is>
      </c>
      <c r="D11" t="n">
        <v>155755</v>
      </c>
      <c r="E11" t="n">
        <v>202131</v>
      </c>
      <c r="F11" t="n">
        <v>2636870</v>
      </c>
      <c r="G11" t="n">
        <v>2504881</v>
      </c>
      <c r="H11" t="n">
        <v>49156</v>
      </c>
      <c r="I11" t="n">
        <v>61684</v>
      </c>
      <c r="J11" t="n">
        <v>865641</v>
      </c>
      <c r="K11" t="n">
        <v>817544</v>
      </c>
      <c r="L11" t="n">
        <v>14465</v>
      </c>
      <c r="M11" t="n">
        <v>17911</v>
      </c>
      <c r="N11" t="n">
        <v>314348</v>
      </c>
      <c r="O11" t="n">
        <v>280385</v>
      </c>
    </row>
    <row r="12">
      <c r="A12" t="inlineStr">
        <is>
          <t>ALIDIAL</t>
        </is>
      </c>
      <c r="B12" t="inlineStr">
        <is>
          <t>ETICO</t>
        </is>
      </c>
      <c r="C12" t="inlineStr">
        <is>
          <t>CETIRIZINE</t>
        </is>
      </c>
      <c r="D12" t="n">
        <v>155755</v>
      </c>
      <c r="E12" t="n">
        <v>202131</v>
      </c>
      <c r="F12" t="n">
        <v>912881</v>
      </c>
      <c r="G12" t="n">
        <v>867291</v>
      </c>
      <c r="H12" t="n">
        <v>49156</v>
      </c>
      <c r="I12" t="n">
        <v>61684</v>
      </c>
      <c r="J12" t="n">
        <v>265110</v>
      </c>
      <c r="K12" t="n">
        <v>258828</v>
      </c>
      <c r="L12" t="n">
        <v>14465</v>
      </c>
      <c r="M12" t="n">
        <v>17911</v>
      </c>
      <c r="N12" t="n">
        <v>73526</v>
      </c>
      <c r="O12" t="n">
        <v>71674</v>
      </c>
    </row>
    <row r="13">
      <c r="A13" t="inlineStr">
        <is>
          <t>ALIDIAL</t>
        </is>
      </c>
      <c r="B13" t="inlineStr">
        <is>
          <t>POPULAR</t>
        </is>
      </c>
      <c r="C13" t="inlineStr">
        <is>
          <t>CETIRIZINE</t>
        </is>
      </c>
      <c r="D13" t="n">
        <v>0</v>
      </c>
      <c r="E13" t="n">
        <v>0</v>
      </c>
      <c r="F13" t="n">
        <v>1723989</v>
      </c>
      <c r="G13" t="n">
        <v>1637590</v>
      </c>
      <c r="H13" t="n">
        <v>0</v>
      </c>
      <c r="I13" t="n">
        <v>0</v>
      </c>
      <c r="J13" t="n">
        <v>600531</v>
      </c>
      <c r="K13" t="n">
        <v>558716</v>
      </c>
      <c r="L13" t="n">
        <v>0</v>
      </c>
      <c r="M13" t="n">
        <v>0</v>
      </c>
      <c r="N13" t="n">
        <v>240822</v>
      </c>
      <c r="O13" t="n">
        <v>208711</v>
      </c>
    </row>
    <row r="14">
      <c r="A14" t="inlineStr">
        <is>
          <t>ALIDIAL L</t>
        </is>
      </c>
      <c r="B14" t="inlineStr">
        <is>
          <t>TOTAL</t>
        </is>
      </c>
      <c r="C14" t="inlineStr">
        <is>
          <t>LEVOCETIRIZINE</t>
        </is>
      </c>
      <c r="D14" t="n">
        <v>0</v>
      </c>
      <c r="E14" t="n">
        <v>5997</v>
      </c>
      <c r="F14" t="n">
        <v>439630</v>
      </c>
      <c r="G14" t="n">
        <v>498934</v>
      </c>
      <c r="H14" t="n">
        <v>0</v>
      </c>
      <c r="I14" t="n">
        <v>3572</v>
      </c>
      <c r="J14" t="n">
        <v>142563</v>
      </c>
      <c r="K14" t="n">
        <v>153150</v>
      </c>
      <c r="L14" t="n">
        <v>0</v>
      </c>
      <c r="M14" t="n">
        <v>1149</v>
      </c>
      <c r="N14" t="n">
        <v>39703</v>
      </c>
      <c r="O14" t="n">
        <v>40708</v>
      </c>
    </row>
    <row r="15">
      <c r="A15" t="inlineStr">
        <is>
          <t>ALIDIAL L</t>
        </is>
      </c>
      <c r="B15" t="inlineStr">
        <is>
          <t>ETICO</t>
        </is>
      </c>
      <c r="C15" t="inlineStr">
        <is>
          <t>LEVOCETIRIZINE</t>
        </is>
      </c>
      <c r="D15" t="n">
        <v>0</v>
      </c>
      <c r="E15" t="n">
        <v>5997</v>
      </c>
      <c r="F15" t="n">
        <v>439630</v>
      </c>
      <c r="G15" t="n">
        <v>498934</v>
      </c>
      <c r="H15" t="n">
        <v>0</v>
      </c>
      <c r="I15" t="n">
        <v>3572</v>
      </c>
      <c r="J15" t="n">
        <v>142563</v>
      </c>
      <c r="K15" t="n">
        <v>153150</v>
      </c>
      <c r="L15" t="n">
        <v>0</v>
      </c>
      <c r="M15" t="n">
        <v>1149</v>
      </c>
      <c r="N15" t="n">
        <v>39703</v>
      </c>
      <c r="O15" t="n">
        <v>40708</v>
      </c>
    </row>
    <row r="16">
      <c r="A16" t="inlineStr">
        <is>
          <t>ALIDIAL L</t>
        </is>
      </c>
      <c r="B16" t="inlineStr">
        <is>
          <t>POPULAR</t>
        </is>
      </c>
      <c r="C16" t="inlineStr">
        <is>
          <t>LEVOCETIRIZINE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MOMETAX</t>
        </is>
      </c>
      <c r="B17" t="inlineStr">
        <is>
          <t>TOTAL</t>
        </is>
      </c>
      <c r="C17" t="inlineStr">
        <is>
          <t>MOMETASONE</t>
        </is>
      </c>
      <c r="D17" t="n">
        <v>149489</v>
      </c>
      <c r="E17" t="n">
        <v>153459</v>
      </c>
      <c r="F17" t="n">
        <v>290235</v>
      </c>
      <c r="G17" t="n">
        <v>273023</v>
      </c>
      <c r="H17" t="n">
        <v>46389</v>
      </c>
      <c r="I17" t="n">
        <v>48749</v>
      </c>
      <c r="J17" t="n">
        <v>81316</v>
      </c>
      <c r="K17" t="n">
        <v>79747</v>
      </c>
      <c r="L17" t="n">
        <v>11439</v>
      </c>
      <c r="M17" t="n">
        <v>11395</v>
      </c>
      <c r="N17" t="n">
        <v>22064</v>
      </c>
      <c r="O17" t="n">
        <v>21843</v>
      </c>
    </row>
    <row r="18">
      <c r="A18" t="inlineStr">
        <is>
          <t>MOMETAX</t>
        </is>
      </c>
      <c r="B18" t="inlineStr">
        <is>
          <t>ETICO</t>
        </is>
      </c>
      <c r="C18" t="inlineStr">
        <is>
          <t>MOMETASONE</t>
        </is>
      </c>
      <c r="D18" t="n">
        <v>149489</v>
      </c>
      <c r="E18" t="n">
        <v>153459</v>
      </c>
      <c r="F18" t="n">
        <v>290235</v>
      </c>
      <c r="G18" t="n">
        <v>273023</v>
      </c>
      <c r="H18" t="n">
        <v>46389</v>
      </c>
      <c r="I18" t="n">
        <v>48749</v>
      </c>
      <c r="J18" t="n">
        <v>81316</v>
      </c>
      <c r="K18" t="n">
        <v>79747</v>
      </c>
      <c r="L18" t="n">
        <v>11439</v>
      </c>
      <c r="M18" t="n">
        <v>11395</v>
      </c>
      <c r="N18" t="n">
        <v>22064</v>
      </c>
      <c r="O18" t="n">
        <v>21843</v>
      </c>
    </row>
    <row r="19">
      <c r="A19" t="inlineStr">
        <is>
          <t>MOMETAX</t>
        </is>
      </c>
      <c r="B19" t="inlineStr">
        <is>
          <t>POPULAR</t>
        </is>
      </c>
      <c r="C19" t="inlineStr">
        <is>
          <t>MOMETASONE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BACTRIM</t>
        </is>
      </c>
      <c r="B20" t="inlineStr">
        <is>
          <t>TOTAL</t>
        </is>
      </c>
      <c r="C20" t="inlineStr">
        <is>
          <t>GUAIFENESIN_SULFAMETHOXAZOLE_TRIMETHOPRIM | SULFAMETHOXAZOLE_TRIMETHOPRIM</t>
        </is>
      </c>
      <c r="D20" t="n">
        <v>1267722</v>
      </c>
      <c r="E20" t="n">
        <v>1341168</v>
      </c>
      <c r="F20" t="n">
        <v>150795</v>
      </c>
      <c r="G20" t="n">
        <v>170969</v>
      </c>
      <c r="H20" t="n">
        <v>448117</v>
      </c>
      <c r="I20" t="n">
        <v>461205</v>
      </c>
      <c r="J20" t="n">
        <v>53723</v>
      </c>
      <c r="K20" t="n">
        <v>58881</v>
      </c>
      <c r="L20" t="n">
        <v>119877</v>
      </c>
      <c r="M20" t="n">
        <v>114011</v>
      </c>
      <c r="N20" t="n">
        <v>13659</v>
      </c>
      <c r="O20" t="n">
        <v>14886</v>
      </c>
    </row>
    <row r="21">
      <c r="A21" t="inlineStr">
        <is>
          <t>BACTRIM</t>
        </is>
      </c>
      <c r="B21" t="inlineStr">
        <is>
          <t>ETICO</t>
        </is>
      </c>
      <c r="C21" t="inlineStr">
        <is>
          <t>GUAIFENESIN_SULFAMETHOXAZOLE_TRIMETHOPRIM | SULFAMETHOXAZOLE_TRIMETHOPRIM</t>
        </is>
      </c>
      <c r="D21" t="n">
        <v>1267722</v>
      </c>
      <c r="E21" t="n">
        <v>1341168</v>
      </c>
      <c r="F21" t="n">
        <v>150795</v>
      </c>
      <c r="G21" t="n">
        <v>170969</v>
      </c>
      <c r="H21" t="n">
        <v>448117</v>
      </c>
      <c r="I21" t="n">
        <v>461205</v>
      </c>
      <c r="J21" t="n">
        <v>53723</v>
      </c>
      <c r="K21" t="n">
        <v>58881</v>
      </c>
      <c r="L21" t="n">
        <v>119877</v>
      </c>
      <c r="M21" t="n">
        <v>114011</v>
      </c>
      <c r="N21" t="n">
        <v>13659</v>
      </c>
      <c r="O21" t="n">
        <v>14886</v>
      </c>
    </row>
    <row r="22">
      <c r="A22" t="inlineStr">
        <is>
          <t>BACTRIM</t>
        </is>
      </c>
      <c r="B22" t="inlineStr">
        <is>
          <t>POPULAR</t>
        </is>
      </c>
      <c r="C22" t="inlineStr">
        <is>
          <t>GUAIFENESIN_SULFAMETHOXAZOLE_TRIMETHOPRIM | SULFAMETHOXAZOLE_TRIMETHOPRIM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ACANTEX</t>
        </is>
      </c>
      <c r="B23" t="inlineStr">
        <is>
          <t>TOTAL</t>
        </is>
      </c>
      <c r="C23" t="inlineStr">
        <is>
          <t>CEFTRIAXONE</t>
        </is>
      </c>
      <c r="D23" t="n">
        <v>370740</v>
      </c>
      <c r="E23" t="n">
        <v>305437</v>
      </c>
      <c r="F23" t="n">
        <v>64627</v>
      </c>
      <c r="G23" t="n">
        <v>46881</v>
      </c>
      <c r="H23" t="n">
        <v>95089</v>
      </c>
      <c r="I23" t="n">
        <v>82213</v>
      </c>
      <c r="J23" t="n">
        <v>14511</v>
      </c>
      <c r="K23" t="n">
        <v>11494</v>
      </c>
      <c r="L23" t="n">
        <v>32818</v>
      </c>
      <c r="M23" t="n">
        <v>22622</v>
      </c>
      <c r="N23" t="n">
        <v>4431</v>
      </c>
      <c r="O23" t="n">
        <v>3097</v>
      </c>
    </row>
    <row r="24">
      <c r="A24" t="inlineStr">
        <is>
          <t>ACANTEX</t>
        </is>
      </c>
      <c r="B24" t="inlineStr">
        <is>
          <t>ETICO</t>
        </is>
      </c>
      <c r="C24" t="inlineStr">
        <is>
          <t>CEFTRIAXONE</t>
        </is>
      </c>
      <c r="D24" t="n">
        <v>370740</v>
      </c>
      <c r="E24" t="n">
        <v>305437</v>
      </c>
      <c r="F24" t="n">
        <v>64627</v>
      </c>
      <c r="G24" t="n">
        <v>46881</v>
      </c>
      <c r="H24" t="n">
        <v>95089</v>
      </c>
      <c r="I24" t="n">
        <v>82213</v>
      </c>
      <c r="J24" t="n">
        <v>14511</v>
      </c>
      <c r="K24" t="n">
        <v>11494</v>
      </c>
      <c r="L24" t="n">
        <v>32818</v>
      </c>
      <c r="M24" t="n">
        <v>22622</v>
      </c>
      <c r="N24" t="n">
        <v>4431</v>
      </c>
      <c r="O24" t="n">
        <v>3097</v>
      </c>
    </row>
    <row r="25">
      <c r="A25" t="inlineStr">
        <is>
          <t>ACANTEX</t>
        </is>
      </c>
      <c r="B25" t="inlineStr">
        <is>
          <t>POPULAR</t>
        </is>
      </c>
      <c r="C25" t="inlineStr">
        <is>
          <t>CEFTRIAXONE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DECADRON</t>
        </is>
      </c>
      <c r="B26" t="inlineStr">
        <is>
          <t>TOTAL</t>
        </is>
      </c>
      <c r="C26" t="inlineStr">
        <is>
          <t>DEXAMETHASONE</t>
        </is>
      </c>
      <c r="D26" t="n">
        <v>475509</v>
      </c>
      <c r="E26" t="n">
        <v>443399</v>
      </c>
      <c r="F26" t="n">
        <v>422704</v>
      </c>
      <c r="G26" t="n">
        <v>388143</v>
      </c>
      <c r="H26" t="n">
        <v>139599</v>
      </c>
      <c r="I26" t="n">
        <v>144282</v>
      </c>
      <c r="J26" t="n">
        <v>125371</v>
      </c>
      <c r="K26" t="n">
        <v>119601</v>
      </c>
      <c r="L26" t="n">
        <v>37499</v>
      </c>
      <c r="M26" t="n">
        <v>37899</v>
      </c>
      <c r="N26" t="n">
        <v>31553</v>
      </c>
      <c r="O26" t="n">
        <v>34405</v>
      </c>
    </row>
    <row r="27">
      <c r="A27" t="inlineStr">
        <is>
          <t>DECADRON</t>
        </is>
      </c>
      <c r="B27" t="inlineStr">
        <is>
          <t>ETICO</t>
        </is>
      </c>
      <c r="C27" t="inlineStr">
        <is>
          <t>DEXAMETHASONE</t>
        </is>
      </c>
      <c r="D27" t="n">
        <v>475509</v>
      </c>
      <c r="E27" t="n">
        <v>443399</v>
      </c>
      <c r="F27" t="n">
        <v>422704</v>
      </c>
      <c r="G27" t="n">
        <v>388143</v>
      </c>
      <c r="H27" t="n">
        <v>139599</v>
      </c>
      <c r="I27" t="n">
        <v>144282</v>
      </c>
      <c r="J27" t="n">
        <v>125371</v>
      </c>
      <c r="K27" t="n">
        <v>119601</v>
      </c>
      <c r="L27" t="n">
        <v>37499</v>
      </c>
      <c r="M27" t="n">
        <v>37899</v>
      </c>
      <c r="N27" t="n">
        <v>31553</v>
      </c>
      <c r="O27" t="n">
        <v>34405</v>
      </c>
    </row>
    <row r="28">
      <c r="A28" t="inlineStr">
        <is>
          <t>DECADRON</t>
        </is>
      </c>
      <c r="B28" t="inlineStr">
        <is>
          <t>POPULAR</t>
        </is>
      </c>
      <c r="C28" t="inlineStr">
        <is>
          <t>DEXAMETHASONE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MACROMAX</t>
        </is>
      </c>
      <c r="B29" t="inlineStr">
        <is>
          <t>TOTAL</t>
        </is>
      </c>
      <c r="C29" t="inlineStr">
        <is>
          <t>AZITHROMYCIN</t>
        </is>
      </c>
      <c r="D29" t="n">
        <v>134528</v>
      </c>
      <c r="E29" t="n">
        <v>146359</v>
      </c>
      <c r="F29" t="n">
        <v>2505661</v>
      </c>
      <c r="G29" t="n">
        <v>2159983</v>
      </c>
      <c r="H29" t="n">
        <v>30533</v>
      </c>
      <c r="I29" t="n">
        <v>29070</v>
      </c>
      <c r="J29" t="n">
        <v>666900</v>
      </c>
      <c r="K29" t="n">
        <v>600817</v>
      </c>
      <c r="L29" t="n">
        <v>12091</v>
      </c>
      <c r="M29" t="n">
        <v>10060</v>
      </c>
      <c r="N29" t="n">
        <v>215404</v>
      </c>
      <c r="O29" t="n">
        <v>142589</v>
      </c>
    </row>
    <row r="30">
      <c r="A30" t="inlineStr">
        <is>
          <t>MACROMAX</t>
        </is>
      </c>
      <c r="B30" t="inlineStr">
        <is>
          <t>ETICO</t>
        </is>
      </c>
      <c r="C30" t="inlineStr">
        <is>
          <t>AZITHROMYCIN</t>
        </is>
      </c>
      <c r="D30" t="n">
        <v>134528</v>
      </c>
      <c r="E30" t="n">
        <v>146359</v>
      </c>
      <c r="F30" t="n">
        <v>2505661</v>
      </c>
      <c r="G30" t="n">
        <v>2159983</v>
      </c>
      <c r="H30" t="n">
        <v>30533</v>
      </c>
      <c r="I30" t="n">
        <v>29070</v>
      </c>
      <c r="J30" t="n">
        <v>666900</v>
      </c>
      <c r="K30" t="n">
        <v>600817</v>
      </c>
      <c r="L30" t="n">
        <v>12091</v>
      </c>
      <c r="M30" t="n">
        <v>10060</v>
      </c>
      <c r="N30" t="n">
        <v>215404</v>
      </c>
      <c r="O30" t="n">
        <v>142589</v>
      </c>
    </row>
    <row r="31">
      <c r="A31" t="inlineStr">
        <is>
          <t>MACROMAX</t>
        </is>
      </c>
      <c r="B31" t="inlineStr">
        <is>
          <t>POPULAR</t>
        </is>
      </c>
      <c r="C31" t="inlineStr">
        <is>
          <t>AZITHROMYCIN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CEFALEXINA</t>
        </is>
      </c>
      <c r="B32" t="inlineStr">
        <is>
          <t>TOTAL</t>
        </is>
      </c>
      <c r="C32" t="inlineStr">
        <is>
          <t>CEFALEXIN</t>
        </is>
      </c>
      <c r="D32" t="n">
        <v>928035</v>
      </c>
      <c r="E32" t="n">
        <v>963942</v>
      </c>
      <c r="F32" t="n">
        <v>779743</v>
      </c>
      <c r="G32" t="n">
        <v>701718</v>
      </c>
      <c r="H32" t="n">
        <v>323825</v>
      </c>
      <c r="I32" t="n">
        <v>332149</v>
      </c>
      <c r="J32" t="n">
        <v>265904</v>
      </c>
      <c r="K32" t="n">
        <v>236841</v>
      </c>
      <c r="L32" t="n">
        <v>80331</v>
      </c>
      <c r="M32" t="n">
        <v>82232</v>
      </c>
      <c r="N32" t="n">
        <v>63170</v>
      </c>
      <c r="O32" t="n">
        <v>58759</v>
      </c>
    </row>
    <row r="33">
      <c r="A33" t="inlineStr">
        <is>
          <t>CEFALEXINA</t>
        </is>
      </c>
      <c r="B33" t="inlineStr">
        <is>
          <t>ETICO</t>
        </is>
      </c>
      <c r="C33" t="inlineStr">
        <is>
          <t>CEFALEXIN</t>
        </is>
      </c>
      <c r="D33" t="n">
        <v>928035</v>
      </c>
      <c r="E33" t="n">
        <v>963942</v>
      </c>
      <c r="F33" t="n">
        <v>779743</v>
      </c>
      <c r="G33" t="n">
        <v>701718</v>
      </c>
      <c r="H33" t="n">
        <v>323825</v>
      </c>
      <c r="I33" t="n">
        <v>332149</v>
      </c>
      <c r="J33" t="n">
        <v>265904</v>
      </c>
      <c r="K33" t="n">
        <v>236841</v>
      </c>
      <c r="L33" t="n">
        <v>80331</v>
      </c>
      <c r="M33" t="n">
        <v>82232</v>
      </c>
      <c r="N33" t="n">
        <v>63170</v>
      </c>
      <c r="O33" t="n">
        <v>58759</v>
      </c>
    </row>
    <row r="34">
      <c r="A34" t="inlineStr">
        <is>
          <t>CEFALEXINA</t>
        </is>
      </c>
      <c r="B34" t="inlineStr">
        <is>
          <t>POPULAR</t>
        </is>
      </c>
      <c r="C34" t="inlineStr">
        <is>
          <t>CEFALEXIN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CALCIO BASE</t>
        </is>
      </c>
      <c r="B35" t="inlineStr">
        <is>
          <t>TOTAL</t>
        </is>
      </c>
      <c r="C35" t="inlineStr">
        <is>
          <t>CALCIUM | CALCIUM_COLECALCIFEROL | CALCIUM_ERGOCALCIFEROL</t>
        </is>
      </c>
      <c r="D35" t="n">
        <v>394160</v>
      </c>
      <c r="E35" t="n">
        <v>410025</v>
      </c>
      <c r="F35" t="n">
        <v>1465489</v>
      </c>
      <c r="G35" t="n">
        <v>1447823</v>
      </c>
      <c r="H35" t="n">
        <v>121160</v>
      </c>
      <c r="I35" t="n">
        <v>132531</v>
      </c>
      <c r="J35" t="n">
        <v>435147</v>
      </c>
      <c r="K35" t="n">
        <v>461078</v>
      </c>
      <c r="L35" t="n">
        <v>32291</v>
      </c>
      <c r="M35" t="n">
        <v>35350</v>
      </c>
      <c r="N35" t="n">
        <v>117801</v>
      </c>
      <c r="O35" t="n">
        <v>121011</v>
      </c>
    </row>
    <row r="36">
      <c r="A36" t="inlineStr">
        <is>
          <t>CALCIO BASE</t>
        </is>
      </c>
      <c r="B36" t="inlineStr">
        <is>
          <t>ETICO</t>
        </is>
      </c>
      <c r="C36" t="inlineStr">
        <is>
          <t>CALCIUM | CALCIUM_COLECALCIFEROL | CALCIUM_ERGOCALCIFEROL</t>
        </is>
      </c>
      <c r="D36" t="n">
        <v>394160</v>
      </c>
      <c r="E36" t="n">
        <v>410025</v>
      </c>
      <c r="F36" t="n">
        <v>1314256</v>
      </c>
      <c r="G36" t="n">
        <v>1279241</v>
      </c>
      <c r="H36" t="n">
        <v>121160</v>
      </c>
      <c r="I36" t="n">
        <v>132531</v>
      </c>
      <c r="J36" t="n">
        <v>393385</v>
      </c>
      <c r="K36" t="n">
        <v>414024</v>
      </c>
      <c r="L36" t="n">
        <v>32291</v>
      </c>
      <c r="M36" t="n">
        <v>35350</v>
      </c>
      <c r="N36" t="n">
        <v>107746</v>
      </c>
      <c r="O36" t="n">
        <v>108026</v>
      </c>
    </row>
    <row r="37">
      <c r="A37" t="inlineStr">
        <is>
          <t>CALCIO BASE</t>
        </is>
      </c>
      <c r="B37" t="inlineStr">
        <is>
          <t>POPULAR</t>
        </is>
      </c>
      <c r="C37" t="inlineStr">
        <is>
          <t>CALCIUM | CALCIUM_COLECALCIFEROL | CALCIUM_ERGOCALCIFEROL</t>
        </is>
      </c>
      <c r="D37" t="n">
        <v>0</v>
      </c>
      <c r="E37" t="n">
        <v>0</v>
      </c>
      <c r="F37" t="n">
        <v>151233</v>
      </c>
      <c r="G37" t="n">
        <v>168582</v>
      </c>
      <c r="H37" t="n">
        <v>0</v>
      </c>
      <c r="I37" t="n">
        <v>0</v>
      </c>
      <c r="J37" t="n">
        <v>41762</v>
      </c>
      <c r="K37" t="n">
        <v>47054</v>
      </c>
      <c r="L37" t="n">
        <v>0</v>
      </c>
      <c r="M37" t="n">
        <v>0</v>
      </c>
      <c r="N37" t="n">
        <v>10055</v>
      </c>
      <c r="O37" t="n">
        <v>12985</v>
      </c>
    </row>
    <row r="38">
      <c r="A38" t="inlineStr">
        <is>
          <t>ISIS FREE</t>
        </is>
      </c>
      <c r="B38" t="inlineStr">
        <is>
          <t>TOTAL</t>
        </is>
      </c>
      <c r="C38" t="inlineStr">
        <is>
          <t>DROSPIRENONE</t>
        </is>
      </c>
      <c r="D38" t="n">
        <v>526920</v>
      </c>
      <c r="E38" t="n">
        <v>641565</v>
      </c>
      <c r="F38" t="n">
        <v>1105317</v>
      </c>
      <c r="G38" t="n">
        <v>1392154</v>
      </c>
      <c r="H38" t="n">
        <v>192628</v>
      </c>
      <c r="I38" t="n">
        <v>222491</v>
      </c>
      <c r="J38" t="n">
        <v>402177</v>
      </c>
      <c r="K38" t="n">
        <v>500195</v>
      </c>
      <c r="L38" t="n">
        <v>54684</v>
      </c>
      <c r="M38" t="n">
        <v>55410</v>
      </c>
      <c r="N38" t="n">
        <v>114381</v>
      </c>
      <c r="O38" t="n">
        <v>127276</v>
      </c>
    </row>
    <row r="39">
      <c r="A39" t="inlineStr">
        <is>
          <t>ISIS FREE</t>
        </is>
      </c>
      <c r="B39" t="inlineStr">
        <is>
          <t>ETICO</t>
        </is>
      </c>
      <c r="C39" t="inlineStr">
        <is>
          <t>DROSPIRENONE</t>
        </is>
      </c>
      <c r="D39" t="n">
        <v>526920</v>
      </c>
      <c r="E39" t="n">
        <v>641565</v>
      </c>
      <c r="F39" t="n">
        <v>1105317</v>
      </c>
      <c r="G39" t="n">
        <v>1392154</v>
      </c>
      <c r="H39" t="n">
        <v>192628</v>
      </c>
      <c r="I39" t="n">
        <v>222491</v>
      </c>
      <c r="J39" t="n">
        <v>402177</v>
      </c>
      <c r="K39" t="n">
        <v>500195</v>
      </c>
      <c r="L39" t="n">
        <v>54684</v>
      </c>
      <c r="M39" t="n">
        <v>55410</v>
      </c>
      <c r="N39" t="n">
        <v>114381</v>
      </c>
      <c r="O39" t="n">
        <v>127276</v>
      </c>
    </row>
    <row r="40">
      <c r="A40" t="inlineStr">
        <is>
          <t>ISIS FREE</t>
        </is>
      </c>
      <c r="B40" t="inlineStr">
        <is>
          <t>POPULAR</t>
        </is>
      </c>
      <c r="C40" t="inlineStr">
        <is>
          <t>DROSPIRENONE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TRIP D3</t>
        </is>
      </c>
      <c r="B41" t="inlineStr">
        <is>
          <t>TOTAL</t>
        </is>
      </c>
      <c r="C41" t="inlineStr">
        <is>
          <t>COLECALCIFEROL | COLECALCIFEROL_MENAQUINONE-7</t>
        </is>
      </c>
      <c r="D41" t="n">
        <v>224368</v>
      </c>
      <c r="E41" t="n">
        <v>285977</v>
      </c>
      <c r="F41" t="n">
        <v>7192376</v>
      </c>
      <c r="G41" t="n">
        <v>7537247</v>
      </c>
      <c r="H41" t="n">
        <v>67759</v>
      </c>
      <c r="I41" t="n">
        <v>84581</v>
      </c>
      <c r="J41" t="n">
        <v>2097948</v>
      </c>
      <c r="K41" t="n">
        <v>2314859</v>
      </c>
      <c r="L41" t="n">
        <v>21134</v>
      </c>
      <c r="M41" t="n">
        <v>22600</v>
      </c>
      <c r="N41" t="n">
        <v>594478</v>
      </c>
      <c r="O41" t="n">
        <v>621995</v>
      </c>
    </row>
    <row r="42">
      <c r="A42" t="inlineStr">
        <is>
          <t>TRIP D3</t>
        </is>
      </c>
      <c r="B42" t="inlineStr">
        <is>
          <t>ETICO</t>
        </is>
      </c>
      <c r="C42" t="inlineStr">
        <is>
          <t>COLECALCIFEROL | COLECALCIFEROL_MENAQUINONE-7</t>
        </is>
      </c>
      <c r="D42" t="n">
        <v>224368</v>
      </c>
      <c r="E42" t="n">
        <v>276684</v>
      </c>
      <c r="F42" t="n">
        <v>7156388</v>
      </c>
      <c r="G42" t="n">
        <v>7477069</v>
      </c>
      <c r="H42" t="n">
        <v>67759</v>
      </c>
      <c r="I42" t="n">
        <v>80123</v>
      </c>
      <c r="J42" t="n">
        <v>2086668</v>
      </c>
      <c r="K42" t="n">
        <v>2294874</v>
      </c>
      <c r="L42" t="n">
        <v>21134</v>
      </c>
      <c r="M42" t="n">
        <v>21115</v>
      </c>
      <c r="N42" t="n">
        <v>590642</v>
      </c>
      <c r="O42" t="n">
        <v>614683</v>
      </c>
    </row>
    <row r="43">
      <c r="A43" t="inlineStr">
        <is>
          <t>TRIP D3</t>
        </is>
      </c>
      <c r="B43" t="inlineStr">
        <is>
          <t>POPULAR</t>
        </is>
      </c>
      <c r="C43" t="inlineStr">
        <is>
          <t>COLECALCIFEROL | COLECALCIFEROL_MENAQUINONE-7</t>
        </is>
      </c>
      <c r="D43" t="n">
        <v>0</v>
      </c>
      <c r="E43" t="n">
        <v>9293</v>
      </c>
      <c r="F43" t="n">
        <v>35988</v>
      </c>
      <c r="G43" t="n">
        <v>60178</v>
      </c>
      <c r="H43" t="n">
        <v>0</v>
      </c>
      <c r="I43" t="n">
        <v>4458</v>
      </c>
      <c r="J43" t="n">
        <v>11280</v>
      </c>
      <c r="K43" t="n">
        <v>19985</v>
      </c>
      <c r="L43" t="n">
        <v>0</v>
      </c>
      <c r="M43" t="n">
        <v>1485</v>
      </c>
      <c r="N43" t="n">
        <v>3836</v>
      </c>
      <c r="O43" t="n">
        <v>7312</v>
      </c>
    </row>
    <row r="44">
      <c r="A44" t="inlineStr">
        <is>
          <t>DELTROX</t>
        </is>
      </c>
      <c r="B44" t="inlineStr">
        <is>
          <t>TOTAL</t>
        </is>
      </c>
      <c r="C44" t="inlineStr">
        <is>
          <t>IBANDRONIC ACID</t>
        </is>
      </c>
      <c r="D44" t="n">
        <v>3981</v>
      </c>
      <c r="E44" t="n">
        <v>6559</v>
      </c>
      <c r="F44" t="n">
        <v>1015791</v>
      </c>
      <c r="G44" t="n">
        <v>935592</v>
      </c>
      <c r="H44" t="n">
        <v>1278</v>
      </c>
      <c r="I44" t="n">
        <v>1681</v>
      </c>
      <c r="J44" t="n">
        <v>302068</v>
      </c>
      <c r="K44" t="n">
        <v>297321</v>
      </c>
      <c r="L44" t="n">
        <v>325</v>
      </c>
      <c r="M44" t="n">
        <v>424</v>
      </c>
      <c r="N44" t="n">
        <v>79406</v>
      </c>
      <c r="O44" t="n">
        <v>75635</v>
      </c>
    </row>
    <row r="45">
      <c r="A45" t="inlineStr">
        <is>
          <t>DELTROX</t>
        </is>
      </c>
      <c r="B45" t="inlineStr">
        <is>
          <t>ETICO</t>
        </is>
      </c>
      <c r="C45" t="inlineStr">
        <is>
          <t>IBANDRONIC ACID</t>
        </is>
      </c>
      <c r="D45" t="n">
        <v>3981</v>
      </c>
      <c r="E45" t="n">
        <v>6559</v>
      </c>
      <c r="F45" t="n">
        <v>1015791</v>
      </c>
      <c r="G45" t="n">
        <v>935592</v>
      </c>
      <c r="H45" t="n">
        <v>1278</v>
      </c>
      <c r="I45" t="n">
        <v>1681</v>
      </c>
      <c r="J45" t="n">
        <v>302068</v>
      </c>
      <c r="K45" t="n">
        <v>297321</v>
      </c>
      <c r="L45" t="n">
        <v>325</v>
      </c>
      <c r="M45" t="n">
        <v>424</v>
      </c>
      <c r="N45" t="n">
        <v>79406</v>
      </c>
      <c r="O45" t="n">
        <v>75635</v>
      </c>
    </row>
    <row r="46">
      <c r="A46" t="inlineStr">
        <is>
          <t>DELTROX</t>
        </is>
      </c>
      <c r="B46" t="inlineStr">
        <is>
          <t>POPULAR</t>
        </is>
      </c>
      <c r="C46" t="inlineStr">
        <is>
          <t>IBANDRONIC ACID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ENTRESTO</t>
        </is>
      </c>
      <c r="B47" t="inlineStr">
        <is>
          <t>TOTAL</t>
        </is>
      </c>
      <c r="C47" t="inlineStr">
        <is>
          <t>SACUBITRIL_VALSARTAN</t>
        </is>
      </c>
      <c r="D47" t="n">
        <v>197784</v>
      </c>
      <c r="E47" t="n">
        <v>218376</v>
      </c>
      <c r="F47" t="n">
        <v>146607</v>
      </c>
      <c r="G47" t="n">
        <v>163750</v>
      </c>
      <c r="H47" t="n">
        <v>69773</v>
      </c>
      <c r="I47" t="n">
        <v>71947</v>
      </c>
      <c r="J47" t="n">
        <v>47917</v>
      </c>
      <c r="K47" t="n">
        <v>54608</v>
      </c>
      <c r="L47" t="n">
        <v>17256</v>
      </c>
      <c r="M47" t="n">
        <v>19503</v>
      </c>
      <c r="N47" t="n">
        <v>12581</v>
      </c>
      <c r="O47" t="n">
        <v>13363</v>
      </c>
    </row>
    <row r="48">
      <c r="A48" t="inlineStr">
        <is>
          <t>ENTRESTO</t>
        </is>
      </c>
      <c r="B48" t="inlineStr">
        <is>
          <t>ETICO</t>
        </is>
      </c>
      <c r="C48" t="inlineStr">
        <is>
          <t>SACUBITRIL_VALSARTAN</t>
        </is>
      </c>
      <c r="D48" t="n">
        <v>197784</v>
      </c>
      <c r="E48" t="n">
        <v>218376</v>
      </c>
      <c r="F48" t="n">
        <v>146607</v>
      </c>
      <c r="G48" t="n">
        <v>163750</v>
      </c>
      <c r="H48" t="n">
        <v>69773</v>
      </c>
      <c r="I48" t="n">
        <v>71947</v>
      </c>
      <c r="J48" t="n">
        <v>47917</v>
      </c>
      <c r="K48" t="n">
        <v>54608</v>
      </c>
      <c r="L48" t="n">
        <v>17256</v>
      </c>
      <c r="M48" t="n">
        <v>19503</v>
      </c>
      <c r="N48" t="n">
        <v>12581</v>
      </c>
      <c r="O48" t="n">
        <v>13363</v>
      </c>
    </row>
    <row r="49">
      <c r="A49" t="inlineStr">
        <is>
          <t>ENTRESTO</t>
        </is>
      </c>
      <c r="B49" t="inlineStr">
        <is>
          <t>POPULAR</t>
        </is>
      </c>
      <c r="C49" t="inlineStr">
        <is>
          <t>SACUBITRIL_VALSARTAN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DILATREND</t>
        </is>
      </c>
      <c r="B50" t="inlineStr">
        <is>
          <t>TOTAL</t>
        </is>
      </c>
      <c r="C50" t="inlineStr">
        <is>
          <t>CARVEDILOL | CARVEDILOL_HYDROCHLOROTHIAZIDE</t>
        </is>
      </c>
      <c r="D50" t="n">
        <v>860568</v>
      </c>
      <c r="E50" t="n">
        <v>759260</v>
      </c>
      <c r="F50" t="n">
        <v>4549303</v>
      </c>
      <c r="G50" t="n">
        <v>4200315</v>
      </c>
      <c r="H50" t="n">
        <v>268014</v>
      </c>
      <c r="I50" t="n">
        <v>238568</v>
      </c>
      <c r="J50" t="n">
        <v>1399712</v>
      </c>
      <c r="K50" t="n">
        <v>1364127</v>
      </c>
      <c r="L50" t="n">
        <v>71048</v>
      </c>
      <c r="M50" t="n">
        <v>58674</v>
      </c>
      <c r="N50" t="n">
        <v>361864</v>
      </c>
      <c r="O50" t="n">
        <v>348558</v>
      </c>
    </row>
    <row r="51">
      <c r="A51" t="inlineStr">
        <is>
          <t>DILATREND</t>
        </is>
      </c>
      <c r="B51" t="inlineStr">
        <is>
          <t>ETICO</t>
        </is>
      </c>
      <c r="C51" t="inlineStr">
        <is>
          <t>CARVEDILOL | CARVEDILOL_HYDROCHLOROTHIAZIDE</t>
        </is>
      </c>
      <c r="D51" t="n">
        <v>860568</v>
      </c>
      <c r="E51" t="n">
        <v>759260</v>
      </c>
      <c r="F51" t="n">
        <v>4549303</v>
      </c>
      <c r="G51" t="n">
        <v>4200315</v>
      </c>
      <c r="H51" t="n">
        <v>268014</v>
      </c>
      <c r="I51" t="n">
        <v>238568</v>
      </c>
      <c r="J51" t="n">
        <v>1399712</v>
      </c>
      <c r="K51" t="n">
        <v>1364127</v>
      </c>
      <c r="L51" t="n">
        <v>71048</v>
      </c>
      <c r="M51" t="n">
        <v>58674</v>
      </c>
      <c r="N51" t="n">
        <v>361864</v>
      </c>
      <c r="O51" t="n">
        <v>348558</v>
      </c>
    </row>
    <row r="52">
      <c r="A52" t="inlineStr">
        <is>
          <t>DILATREND</t>
        </is>
      </c>
      <c r="B52" t="inlineStr">
        <is>
          <t>POPULAR</t>
        </is>
      </c>
      <c r="C52" t="inlineStr">
        <is>
          <t>CARVEDILOL | CARVEDILOL_HYDROCHLOROTHIAZIDE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ROXOLAN</t>
        </is>
      </c>
      <c r="B53" t="inlineStr">
        <is>
          <t>TOTAL</t>
        </is>
      </c>
      <c r="C53" t="inlineStr">
        <is>
          <t>ROSUVASTATIN</t>
        </is>
      </c>
      <c r="D53" t="n">
        <v>203685</v>
      </c>
      <c r="E53" t="n">
        <v>205797</v>
      </c>
      <c r="F53" t="n">
        <v>9644957</v>
      </c>
      <c r="G53" t="n">
        <v>9770796</v>
      </c>
      <c r="H53" t="n">
        <v>61717</v>
      </c>
      <c r="I53" t="n">
        <v>67437</v>
      </c>
      <c r="J53" t="n">
        <v>2953537</v>
      </c>
      <c r="K53" t="n">
        <v>3266447</v>
      </c>
      <c r="L53" t="n">
        <v>16687</v>
      </c>
      <c r="M53" t="n">
        <v>16842</v>
      </c>
      <c r="N53" t="n">
        <v>783322</v>
      </c>
      <c r="O53" t="n">
        <v>848212</v>
      </c>
    </row>
    <row r="54">
      <c r="A54" t="inlineStr">
        <is>
          <t>ROXOLAN</t>
        </is>
      </c>
      <c r="B54" t="inlineStr">
        <is>
          <t>ETICO</t>
        </is>
      </c>
      <c r="C54" t="inlineStr">
        <is>
          <t>ROSUVASTATIN</t>
        </is>
      </c>
      <c r="D54" t="n">
        <v>203685</v>
      </c>
      <c r="E54" t="n">
        <v>205797</v>
      </c>
      <c r="F54" t="n">
        <v>9644957</v>
      </c>
      <c r="G54" t="n">
        <v>9770796</v>
      </c>
      <c r="H54" t="n">
        <v>61717</v>
      </c>
      <c r="I54" t="n">
        <v>67437</v>
      </c>
      <c r="J54" t="n">
        <v>2953537</v>
      </c>
      <c r="K54" t="n">
        <v>3266447</v>
      </c>
      <c r="L54" t="n">
        <v>16687</v>
      </c>
      <c r="M54" t="n">
        <v>16842</v>
      </c>
      <c r="N54" t="n">
        <v>783322</v>
      </c>
      <c r="O54" t="n">
        <v>848212</v>
      </c>
    </row>
    <row r="55">
      <c r="A55" t="inlineStr">
        <is>
          <t>ROXOLAN</t>
        </is>
      </c>
      <c r="B55" t="inlineStr">
        <is>
          <t>POPULAR</t>
        </is>
      </c>
      <c r="C55" t="inlineStr">
        <is>
          <t>ROSUVASTATIN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ROXOLAN PLUS</t>
        </is>
      </c>
      <c r="B56" t="inlineStr">
        <is>
          <t>TOTAL</t>
        </is>
      </c>
      <c r="C56" t="inlineStr">
        <is>
          <t>EZETIMIBE_ROSUVASTATIN</t>
        </is>
      </c>
      <c r="D56" t="n">
        <v>18803</v>
      </c>
      <c r="E56" t="n">
        <v>36655</v>
      </c>
      <c r="F56" t="n">
        <v>853457</v>
      </c>
      <c r="G56" t="n">
        <v>1179511</v>
      </c>
      <c r="H56" t="n">
        <v>7200</v>
      </c>
      <c r="I56" t="n">
        <v>13626</v>
      </c>
      <c r="J56" t="n">
        <v>281726</v>
      </c>
      <c r="K56" t="n">
        <v>438186</v>
      </c>
      <c r="L56" t="n">
        <v>2114</v>
      </c>
      <c r="M56" t="n">
        <v>3479</v>
      </c>
      <c r="N56" t="n">
        <v>78835</v>
      </c>
      <c r="O56" t="n">
        <v>122765</v>
      </c>
    </row>
    <row r="57">
      <c r="A57" t="inlineStr">
        <is>
          <t>ROXOLAN PLUS</t>
        </is>
      </c>
      <c r="B57" t="inlineStr">
        <is>
          <t>ETICO</t>
        </is>
      </c>
      <c r="C57" t="inlineStr">
        <is>
          <t>EZETIMIBE_ROSUVASTATIN</t>
        </is>
      </c>
      <c r="D57" t="n">
        <v>18803</v>
      </c>
      <c r="E57" t="n">
        <v>36655</v>
      </c>
      <c r="F57" t="n">
        <v>853457</v>
      </c>
      <c r="G57" t="n">
        <v>1179511</v>
      </c>
      <c r="H57" t="n">
        <v>7200</v>
      </c>
      <c r="I57" t="n">
        <v>13626</v>
      </c>
      <c r="J57" t="n">
        <v>281726</v>
      </c>
      <c r="K57" t="n">
        <v>438186</v>
      </c>
      <c r="L57" t="n">
        <v>2114</v>
      </c>
      <c r="M57" t="n">
        <v>3479</v>
      </c>
      <c r="N57" t="n">
        <v>78835</v>
      </c>
      <c r="O57" t="n">
        <v>122765</v>
      </c>
    </row>
    <row r="58">
      <c r="A58" t="inlineStr">
        <is>
          <t>ROXOLAN PLUS</t>
        </is>
      </c>
      <c r="B58" t="inlineStr">
        <is>
          <t>POPULAR</t>
        </is>
      </c>
      <c r="C58" t="inlineStr">
        <is>
          <t>EZETIMIBE_ROSUVASTATIN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SINTROM</t>
        </is>
      </c>
      <c r="B59" t="inlineStr">
        <is>
          <t>TOTAL</t>
        </is>
      </c>
      <c r="C59" t="inlineStr">
        <is>
          <t>ACENOCOUMAROL</t>
        </is>
      </c>
      <c r="D59" t="n">
        <v>780746</v>
      </c>
      <c r="E59" t="n">
        <v>746887</v>
      </c>
      <c r="F59" t="n">
        <v>208993</v>
      </c>
      <c r="G59" t="n">
        <v>198462</v>
      </c>
      <c r="H59" t="n">
        <v>239114</v>
      </c>
      <c r="I59" t="n">
        <v>239681</v>
      </c>
      <c r="J59" t="n">
        <v>67859</v>
      </c>
      <c r="K59" t="n">
        <v>62211</v>
      </c>
      <c r="L59" t="n">
        <v>63709</v>
      </c>
      <c r="M59" t="n">
        <v>59924</v>
      </c>
      <c r="N59" t="n">
        <v>16649</v>
      </c>
      <c r="O59" t="n">
        <v>16434</v>
      </c>
    </row>
    <row r="60">
      <c r="A60" t="inlineStr">
        <is>
          <t>SINTROM</t>
        </is>
      </c>
      <c r="B60" t="inlineStr">
        <is>
          <t>ETICO</t>
        </is>
      </c>
      <c r="C60" t="inlineStr">
        <is>
          <t>ACENOCOUMAROL</t>
        </is>
      </c>
      <c r="D60" t="n">
        <v>780746</v>
      </c>
      <c r="E60" t="n">
        <v>746887</v>
      </c>
      <c r="F60" t="n">
        <v>208993</v>
      </c>
      <c r="G60" t="n">
        <v>198462</v>
      </c>
      <c r="H60" t="n">
        <v>239114</v>
      </c>
      <c r="I60" t="n">
        <v>239681</v>
      </c>
      <c r="J60" t="n">
        <v>67859</v>
      </c>
      <c r="K60" t="n">
        <v>62211</v>
      </c>
      <c r="L60" t="n">
        <v>63709</v>
      </c>
      <c r="M60" t="n">
        <v>59924</v>
      </c>
      <c r="N60" t="n">
        <v>16649</v>
      </c>
      <c r="O60" t="n">
        <v>16434</v>
      </c>
    </row>
    <row r="61">
      <c r="A61" t="inlineStr">
        <is>
          <t>SINTROM</t>
        </is>
      </c>
      <c r="B61" t="inlineStr">
        <is>
          <t>POPULAR</t>
        </is>
      </c>
      <c r="C61" t="inlineStr">
        <is>
          <t>ACENOCOUMAROL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EMPAX</t>
        </is>
      </c>
      <c r="B62" t="inlineStr">
        <is>
          <t>TOTAL</t>
        </is>
      </c>
      <c r="C62" t="inlineStr">
        <is>
          <t>EMPAGLIFLOZIN | EMPAGLIFLOZIN_METFORMIN</t>
        </is>
      </c>
      <c r="D62" t="n">
        <v>2040</v>
      </c>
      <c r="E62" t="n">
        <v>25320</v>
      </c>
      <c r="F62" t="n">
        <v>393241</v>
      </c>
      <c r="G62" t="n">
        <v>469904</v>
      </c>
      <c r="H62" t="n">
        <v>2040</v>
      </c>
      <c r="I62" t="n">
        <v>11012</v>
      </c>
      <c r="J62" t="n">
        <v>134706</v>
      </c>
      <c r="K62" t="n">
        <v>162996</v>
      </c>
      <c r="L62" t="n">
        <v>1481</v>
      </c>
      <c r="M62" t="n">
        <v>3256</v>
      </c>
      <c r="N62" t="n">
        <v>41018</v>
      </c>
      <c r="O62" t="n">
        <v>41357</v>
      </c>
    </row>
    <row r="63">
      <c r="A63" t="inlineStr">
        <is>
          <t>EMPAX</t>
        </is>
      </c>
      <c r="B63" t="inlineStr">
        <is>
          <t>ETICO</t>
        </is>
      </c>
      <c r="C63" t="inlineStr">
        <is>
          <t>EMPAGLIFLOZIN | EMPAGLIFLOZIN_METFORMIN</t>
        </is>
      </c>
      <c r="D63" t="n">
        <v>2040</v>
      </c>
      <c r="E63" t="n">
        <v>25320</v>
      </c>
      <c r="F63" t="n">
        <v>393241</v>
      </c>
      <c r="G63" t="n">
        <v>469904</v>
      </c>
      <c r="H63" t="n">
        <v>2040</v>
      </c>
      <c r="I63" t="n">
        <v>11012</v>
      </c>
      <c r="J63" t="n">
        <v>134706</v>
      </c>
      <c r="K63" t="n">
        <v>162996</v>
      </c>
      <c r="L63" t="n">
        <v>1481</v>
      </c>
      <c r="M63" t="n">
        <v>3256</v>
      </c>
      <c r="N63" t="n">
        <v>41018</v>
      </c>
      <c r="O63" t="n">
        <v>41357</v>
      </c>
    </row>
    <row r="64">
      <c r="A64" t="inlineStr">
        <is>
          <t>EMPAX</t>
        </is>
      </c>
      <c r="B64" t="inlineStr">
        <is>
          <t>POPULAR</t>
        </is>
      </c>
      <c r="C64" t="inlineStr">
        <is>
          <t>EMPAGLIFLOZIN | EMPAGLIFLOZIN_METFORMIN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SILTRAN</t>
        </is>
      </c>
      <c r="B65" t="inlineStr">
        <is>
          <t>TOTAL</t>
        </is>
      </c>
      <c r="C65" t="inlineStr">
        <is>
          <t>METFORMIN_SITAGLIPTIN | SITAGLIPTIN</t>
        </is>
      </c>
      <c r="D65" t="n">
        <v>29071</v>
      </c>
      <c r="E65" t="n">
        <v>65921</v>
      </c>
      <c r="F65" t="n">
        <v>1755519</v>
      </c>
      <c r="G65" t="n">
        <v>1941746</v>
      </c>
      <c r="H65" t="n">
        <v>13028</v>
      </c>
      <c r="I65" t="n">
        <v>24159</v>
      </c>
      <c r="J65" t="n">
        <v>590872</v>
      </c>
      <c r="K65" t="n">
        <v>671512</v>
      </c>
      <c r="L65" t="n">
        <v>3839</v>
      </c>
      <c r="M65" t="n">
        <v>6925</v>
      </c>
      <c r="N65" t="n">
        <v>149370</v>
      </c>
      <c r="O65" t="n">
        <v>170760</v>
      </c>
    </row>
    <row r="66">
      <c r="A66" t="inlineStr">
        <is>
          <t>SILTRAN</t>
        </is>
      </c>
      <c r="B66" t="inlineStr">
        <is>
          <t>ETICO</t>
        </is>
      </c>
      <c r="C66" t="inlineStr">
        <is>
          <t>METFORMIN_SITAGLIPTIN | SITAGLIPTIN</t>
        </is>
      </c>
      <c r="D66" t="n">
        <v>29071</v>
      </c>
      <c r="E66" t="n">
        <v>65921</v>
      </c>
      <c r="F66" t="n">
        <v>1755519</v>
      </c>
      <c r="G66" t="n">
        <v>1941746</v>
      </c>
      <c r="H66" t="n">
        <v>13028</v>
      </c>
      <c r="I66" t="n">
        <v>24159</v>
      </c>
      <c r="J66" t="n">
        <v>590872</v>
      </c>
      <c r="K66" t="n">
        <v>671512</v>
      </c>
      <c r="L66" t="n">
        <v>3839</v>
      </c>
      <c r="M66" t="n">
        <v>6925</v>
      </c>
      <c r="N66" t="n">
        <v>149370</v>
      </c>
      <c r="O66" t="n">
        <v>170760</v>
      </c>
    </row>
    <row r="67">
      <c r="A67" t="inlineStr">
        <is>
          <t>SILTRAN</t>
        </is>
      </c>
      <c r="B67" t="inlineStr">
        <is>
          <t>POPULAR</t>
        </is>
      </c>
      <c r="C67" t="inlineStr">
        <is>
          <t>METFORMIN_SITAGLIPTIN | SITAGLIPTIN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METGLUCON</t>
        </is>
      </c>
      <c r="B68" t="inlineStr">
        <is>
          <t>TOTAL</t>
        </is>
      </c>
      <c r="C68" t="inlineStr">
        <is>
          <t>GLIBENCLAMIDE_METFORMIN | METFORMIN</t>
        </is>
      </c>
      <c r="D68" t="n">
        <v>363560</v>
      </c>
      <c r="E68" t="n">
        <v>360548</v>
      </c>
      <c r="F68" t="n">
        <v>9595305</v>
      </c>
      <c r="G68" t="n">
        <v>9398326</v>
      </c>
      <c r="H68" t="n">
        <v>118482</v>
      </c>
      <c r="I68" t="n">
        <v>114395</v>
      </c>
      <c r="J68" t="n">
        <v>3090561</v>
      </c>
      <c r="K68" t="n">
        <v>3078437</v>
      </c>
      <c r="L68" t="n">
        <v>31326</v>
      </c>
      <c r="M68" t="n">
        <v>27478</v>
      </c>
      <c r="N68" t="n">
        <v>803805</v>
      </c>
      <c r="O68" t="n">
        <v>796641</v>
      </c>
    </row>
    <row r="69">
      <c r="A69" t="inlineStr">
        <is>
          <t>METGLUCON</t>
        </is>
      </c>
      <c r="B69" t="inlineStr">
        <is>
          <t>ETICO</t>
        </is>
      </c>
      <c r="C69" t="inlineStr">
        <is>
          <t>GLIBENCLAMIDE_METFORMIN | METFORMIN</t>
        </is>
      </c>
      <c r="D69" t="n">
        <v>363560</v>
      </c>
      <c r="E69" t="n">
        <v>360548</v>
      </c>
      <c r="F69" t="n">
        <v>9595305</v>
      </c>
      <c r="G69" t="n">
        <v>9398326</v>
      </c>
      <c r="H69" t="n">
        <v>118482</v>
      </c>
      <c r="I69" t="n">
        <v>114395</v>
      </c>
      <c r="J69" t="n">
        <v>3090561</v>
      </c>
      <c r="K69" t="n">
        <v>3078437</v>
      </c>
      <c r="L69" t="n">
        <v>31326</v>
      </c>
      <c r="M69" t="n">
        <v>27478</v>
      </c>
      <c r="N69" t="n">
        <v>803805</v>
      </c>
      <c r="O69" t="n">
        <v>796641</v>
      </c>
    </row>
    <row r="70">
      <c r="A70" t="inlineStr">
        <is>
          <t>METGLUCON</t>
        </is>
      </c>
      <c r="B70" t="inlineStr">
        <is>
          <t>POPULAR</t>
        </is>
      </c>
      <c r="C70" t="inlineStr">
        <is>
          <t>GLIBENCLAMIDE_METFORMIN | METFORMIN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TERLOC</t>
        </is>
      </c>
      <c r="B71" t="inlineStr">
        <is>
          <t>TOTAL</t>
        </is>
      </c>
      <c r="C71" t="inlineStr">
        <is>
          <t>AMLODIPINE | AMLODIPINE_BENAZEPRIL</t>
        </is>
      </c>
      <c r="D71" t="n">
        <v>442397</v>
      </c>
      <c r="E71" t="n">
        <v>358881</v>
      </c>
      <c r="F71" t="n">
        <v>5653996</v>
      </c>
      <c r="G71" t="n">
        <v>5410028</v>
      </c>
      <c r="H71" t="n">
        <v>123230</v>
      </c>
      <c r="I71" t="n">
        <v>115236</v>
      </c>
      <c r="J71" t="n">
        <v>1706099</v>
      </c>
      <c r="K71" t="n">
        <v>1763629</v>
      </c>
      <c r="L71" t="n">
        <v>33182</v>
      </c>
      <c r="M71" t="n">
        <v>30149</v>
      </c>
      <c r="N71" t="n">
        <v>437118</v>
      </c>
      <c r="O71" t="n">
        <v>456373</v>
      </c>
    </row>
    <row r="72">
      <c r="A72" t="inlineStr">
        <is>
          <t>TERLOC</t>
        </is>
      </c>
      <c r="B72" t="inlineStr">
        <is>
          <t>ETICO</t>
        </is>
      </c>
      <c r="C72" t="inlineStr">
        <is>
          <t>AMLODIPINE | AMLODIPINE_BENAZEPRIL</t>
        </is>
      </c>
      <c r="D72" t="n">
        <v>442397</v>
      </c>
      <c r="E72" t="n">
        <v>358881</v>
      </c>
      <c r="F72" t="n">
        <v>5653996</v>
      </c>
      <c r="G72" t="n">
        <v>5410028</v>
      </c>
      <c r="H72" t="n">
        <v>123230</v>
      </c>
      <c r="I72" t="n">
        <v>115236</v>
      </c>
      <c r="J72" t="n">
        <v>1706099</v>
      </c>
      <c r="K72" t="n">
        <v>1763629</v>
      </c>
      <c r="L72" t="n">
        <v>33182</v>
      </c>
      <c r="M72" t="n">
        <v>30149</v>
      </c>
      <c r="N72" t="n">
        <v>437118</v>
      </c>
      <c r="O72" t="n">
        <v>456373</v>
      </c>
    </row>
    <row r="73">
      <c r="A73" t="inlineStr">
        <is>
          <t>TERLOC</t>
        </is>
      </c>
      <c r="B73" t="inlineStr">
        <is>
          <t>POPULAR</t>
        </is>
      </c>
      <c r="C73" t="inlineStr">
        <is>
          <t>AMLODIPINE | AMLODIPINE_BENAZEPRIL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DIOVAN</t>
        </is>
      </c>
      <c r="B74" t="inlineStr">
        <is>
          <t>TOTAL</t>
        </is>
      </c>
      <c r="C74" t="inlineStr">
        <is>
          <t>HYDROCHLOROTHIAZIDE_VALSARTAN | VALSARTAN</t>
        </is>
      </c>
      <c r="D74" t="n">
        <v>936707</v>
      </c>
      <c r="E74" t="n">
        <v>868029</v>
      </c>
      <c r="F74" t="n">
        <v>10221268</v>
      </c>
      <c r="G74" t="n">
        <v>11288697</v>
      </c>
      <c r="H74" t="n">
        <v>285069</v>
      </c>
      <c r="I74" t="n">
        <v>273054</v>
      </c>
      <c r="J74" t="n">
        <v>3371465</v>
      </c>
      <c r="K74" t="n">
        <v>3830097</v>
      </c>
      <c r="L74" t="n">
        <v>73745</v>
      </c>
      <c r="M74" t="n">
        <v>67316</v>
      </c>
      <c r="N74" t="n">
        <v>903247</v>
      </c>
      <c r="O74" t="n">
        <v>1004111</v>
      </c>
    </row>
    <row r="75">
      <c r="A75" t="inlineStr">
        <is>
          <t>DIOVAN</t>
        </is>
      </c>
      <c r="B75" t="inlineStr">
        <is>
          <t>ETICO</t>
        </is>
      </c>
      <c r="C75" t="inlineStr">
        <is>
          <t>HYDROCHLOROTHIAZIDE_VALSARTAN | VALSARTAN</t>
        </is>
      </c>
      <c r="D75" t="n">
        <v>936707</v>
      </c>
      <c r="E75" t="n">
        <v>868029</v>
      </c>
      <c r="F75" t="n">
        <v>10221268</v>
      </c>
      <c r="G75" t="n">
        <v>11288697</v>
      </c>
      <c r="H75" t="n">
        <v>285069</v>
      </c>
      <c r="I75" t="n">
        <v>273054</v>
      </c>
      <c r="J75" t="n">
        <v>3371465</v>
      </c>
      <c r="K75" t="n">
        <v>3830097</v>
      </c>
      <c r="L75" t="n">
        <v>73745</v>
      </c>
      <c r="M75" t="n">
        <v>67316</v>
      </c>
      <c r="N75" t="n">
        <v>903247</v>
      </c>
      <c r="O75" t="n">
        <v>1004111</v>
      </c>
    </row>
    <row r="76">
      <c r="A76" t="inlineStr">
        <is>
          <t>DIOVAN</t>
        </is>
      </c>
      <c r="B76" t="inlineStr">
        <is>
          <t>POPULAR</t>
        </is>
      </c>
      <c r="C76" t="inlineStr">
        <is>
          <t>HYDROCHLOROTHIAZIDE_VALSARTAN | VALSARTAN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TELPRES</t>
        </is>
      </c>
      <c r="B77" t="inlineStr">
        <is>
          <t>TOTAL</t>
        </is>
      </c>
      <c r="C77" t="inlineStr">
        <is>
          <t>TELMISARTAN</t>
        </is>
      </c>
      <c r="D77" t="n">
        <v>62226</v>
      </c>
      <c r="E77" t="n">
        <v>56691</v>
      </c>
      <c r="F77" t="n">
        <v>1170104</v>
      </c>
      <c r="G77" t="n">
        <v>1106098</v>
      </c>
      <c r="H77" t="n">
        <v>20020</v>
      </c>
      <c r="I77" t="n">
        <v>15267</v>
      </c>
      <c r="J77" t="n">
        <v>370322</v>
      </c>
      <c r="K77" t="n">
        <v>361999</v>
      </c>
      <c r="L77" t="n">
        <v>4545</v>
      </c>
      <c r="M77" t="n">
        <v>4572</v>
      </c>
      <c r="N77" t="n">
        <v>92880</v>
      </c>
      <c r="O77" t="n">
        <v>92673</v>
      </c>
    </row>
    <row r="78">
      <c r="A78" t="inlineStr">
        <is>
          <t>TELPRES</t>
        </is>
      </c>
      <c r="B78" t="inlineStr">
        <is>
          <t>ETICO</t>
        </is>
      </c>
      <c r="C78" t="inlineStr">
        <is>
          <t>TELMISARTAN</t>
        </is>
      </c>
      <c r="D78" t="n">
        <v>62226</v>
      </c>
      <c r="E78" t="n">
        <v>56691</v>
      </c>
      <c r="F78" t="n">
        <v>1170104</v>
      </c>
      <c r="G78" t="n">
        <v>1106098</v>
      </c>
      <c r="H78" t="n">
        <v>20020</v>
      </c>
      <c r="I78" t="n">
        <v>15267</v>
      </c>
      <c r="J78" t="n">
        <v>370322</v>
      </c>
      <c r="K78" t="n">
        <v>361999</v>
      </c>
      <c r="L78" t="n">
        <v>4545</v>
      </c>
      <c r="M78" t="n">
        <v>4572</v>
      </c>
      <c r="N78" t="n">
        <v>92880</v>
      </c>
      <c r="O78" t="n">
        <v>92673</v>
      </c>
    </row>
    <row r="79">
      <c r="A79" t="inlineStr">
        <is>
          <t>TELPRES</t>
        </is>
      </c>
      <c r="B79" t="inlineStr">
        <is>
          <t>POPULAR</t>
        </is>
      </c>
      <c r="C79" t="inlineStr">
        <is>
          <t>TELMISARTAN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DAURAN</t>
        </is>
      </c>
      <c r="B80" t="inlineStr">
        <is>
          <t>TOTAL</t>
        </is>
      </c>
      <c r="C80" t="inlineStr">
        <is>
          <t>DAPAGLIFLOZIN</t>
        </is>
      </c>
      <c r="D80" t="n">
        <v>3562</v>
      </c>
      <c r="E80" t="n">
        <v>13480</v>
      </c>
      <c r="F80" t="n">
        <v>1038809</v>
      </c>
      <c r="G80" t="n">
        <v>1295985</v>
      </c>
      <c r="H80" t="n">
        <v>2015</v>
      </c>
      <c r="I80" t="n">
        <v>4931</v>
      </c>
      <c r="J80" t="n">
        <v>388769</v>
      </c>
      <c r="K80" t="n">
        <v>461046</v>
      </c>
      <c r="L80" t="n">
        <v>709</v>
      </c>
      <c r="M80" t="n">
        <v>1226</v>
      </c>
      <c r="N80" t="n">
        <v>111003</v>
      </c>
      <c r="O80" t="n">
        <v>123549</v>
      </c>
    </row>
    <row r="81">
      <c r="A81" t="inlineStr">
        <is>
          <t>DAURAN</t>
        </is>
      </c>
      <c r="B81" t="inlineStr">
        <is>
          <t>ETICO</t>
        </is>
      </c>
      <c r="C81" t="inlineStr">
        <is>
          <t>DAPAGLIFLOZIN</t>
        </is>
      </c>
      <c r="D81" t="n">
        <v>3562</v>
      </c>
      <c r="E81" t="n">
        <v>13480</v>
      </c>
      <c r="F81" t="n">
        <v>1038809</v>
      </c>
      <c r="G81" t="n">
        <v>1295985</v>
      </c>
      <c r="H81" t="n">
        <v>2015</v>
      </c>
      <c r="I81" t="n">
        <v>4931</v>
      </c>
      <c r="J81" t="n">
        <v>388769</v>
      </c>
      <c r="K81" t="n">
        <v>461046</v>
      </c>
      <c r="L81" t="n">
        <v>709</v>
      </c>
      <c r="M81" t="n">
        <v>1226</v>
      </c>
      <c r="N81" t="n">
        <v>111003</v>
      </c>
      <c r="O81" t="n">
        <v>123549</v>
      </c>
    </row>
    <row r="82">
      <c r="A82" t="inlineStr">
        <is>
          <t>DAURAN</t>
        </is>
      </c>
      <c r="B82" t="inlineStr">
        <is>
          <t>POPULAR</t>
        </is>
      </c>
      <c r="C82" t="inlineStr">
        <is>
          <t>DAPAGLIFLOZIN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PIXABAN</t>
        </is>
      </c>
      <c r="B83" t="inlineStr">
        <is>
          <t>TOTAL</t>
        </is>
      </c>
      <c r="C83" t="inlineStr">
        <is>
          <t>APIXABAN</t>
        </is>
      </c>
      <c r="D83" t="n">
        <v>17775</v>
      </c>
      <c r="E83" t="n">
        <v>23602</v>
      </c>
      <c r="F83" t="n">
        <v>151455</v>
      </c>
      <c r="G83" t="n">
        <v>186125</v>
      </c>
      <c r="H83" t="n">
        <v>6597</v>
      </c>
      <c r="I83" t="n">
        <v>9044</v>
      </c>
      <c r="J83" t="n">
        <v>52679</v>
      </c>
      <c r="K83" t="n">
        <v>66762</v>
      </c>
      <c r="L83" t="n">
        <v>1721</v>
      </c>
      <c r="M83" t="n">
        <v>2390</v>
      </c>
      <c r="N83" t="n">
        <v>15061</v>
      </c>
      <c r="O83" t="n">
        <v>17537</v>
      </c>
    </row>
    <row r="84">
      <c r="A84" t="inlineStr">
        <is>
          <t>PIXABAN</t>
        </is>
      </c>
      <c r="B84" t="inlineStr">
        <is>
          <t>ETICO</t>
        </is>
      </c>
      <c r="C84" t="inlineStr">
        <is>
          <t>APIXABAN</t>
        </is>
      </c>
      <c r="D84" t="n">
        <v>17775</v>
      </c>
      <c r="E84" t="n">
        <v>23602</v>
      </c>
      <c r="F84" t="n">
        <v>151455</v>
      </c>
      <c r="G84" t="n">
        <v>186125</v>
      </c>
      <c r="H84" t="n">
        <v>6597</v>
      </c>
      <c r="I84" t="n">
        <v>9044</v>
      </c>
      <c r="J84" t="n">
        <v>52679</v>
      </c>
      <c r="K84" t="n">
        <v>66762</v>
      </c>
      <c r="L84" t="n">
        <v>1721</v>
      </c>
      <c r="M84" t="n">
        <v>2390</v>
      </c>
      <c r="N84" t="n">
        <v>15061</v>
      </c>
      <c r="O84" t="n">
        <v>17537</v>
      </c>
    </row>
    <row r="85">
      <c r="A85" t="inlineStr">
        <is>
          <t>PIXABAN</t>
        </is>
      </c>
      <c r="B85" t="inlineStr">
        <is>
          <t>POPULAR</t>
        </is>
      </c>
      <c r="C85" t="inlineStr">
        <is>
          <t>APIXABAN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LEVITAL</t>
        </is>
      </c>
      <c r="B86" t="inlineStr">
        <is>
          <t>TOTAL</t>
        </is>
      </c>
      <c r="C86" t="inlineStr">
        <is>
          <t>LEVETIRACETAM</t>
        </is>
      </c>
      <c r="D86" t="n">
        <v>12674</v>
      </c>
      <c r="E86" t="n">
        <v>14057</v>
      </c>
      <c r="F86" t="n">
        <v>776900</v>
      </c>
      <c r="G86" t="n">
        <v>796084</v>
      </c>
      <c r="H86" t="n">
        <v>4243</v>
      </c>
      <c r="I86" t="n">
        <v>4655</v>
      </c>
      <c r="J86" t="n">
        <v>252959</v>
      </c>
      <c r="K86" t="n">
        <v>269795</v>
      </c>
      <c r="L86" t="n">
        <v>1181</v>
      </c>
      <c r="M86" t="n">
        <v>1168</v>
      </c>
      <c r="N86" t="n">
        <v>66261</v>
      </c>
      <c r="O86" t="n">
        <v>70070</v>
      </c>
    </row>
    <row r="87">
      <c r="A87" t="inlineStr">
        <is>
          <t>LEVITAL</t>
        </is>
      </c>
      <c r="B87" t="inlineStr">
        <is>
          <t>ETICO</t>
        </is>
      </c>
      <c r="C87" t="inlineStr">
        <is>
          <t>LEVETIRACETAM</t>
        </is>
      </c>
      <c r="D87" t="n">
        <v>12674</v>
      </c>
      <c r="E87" t="n">
        <v>14057</v>
      </c>
      <c r="F87" t="n">
        <v>776900</v>
      </c>
      <c r="G87" t="n">
        <v>796084</v>
      </c>
      <c r="H87" t="n">
        <v>4243</v>
      </c>
      <c r="I87" t="n">
        <v>4655</v>
      </c>
      <c r="J87" t="n">
        <v>252959</v>
      </c>
      <c r="K87" t="n">
        <v>269795</v>
      </c>
      <c r="L87" t="n">
        <v>1181</v>
      </c>
      <c r="M87" t="n">
        <v>1168</v>
      </c>
      <c r="N87" t="n">
        <v>66261</v>
      </c>
      <c r="O87" t="n">
        <v>70070</v>
      </c>
    </row>
    <row r="88">
      <c r="A88" t="inlineStr">
        <is>
          <t>LEVITAL</t>
        </is>
      </c>
      <c r="B88" t="inlineStr">
        <is>
          <t>POPULAR</t>
        </is>
      </c>
      <c r="C88" t="inlineStr">
        <is>
          <t>LEVETIRACETAM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VALIUM</t>
        </is>
      </c>
      <c r="B89" t="inlineStr">
        <is>
          <t>TOTAL</t>
        </is>
      </c>
      <c r="C89" t="inlineStr">
        <is>
          <t>DIAZEPAM</t>
        </is>
      </c>
      <c r="D89" t="n">
        <v>554244</v>
      </c>
      <c r="E89" t="n">
        <v>520123</v>
      </c>
      <c r="F89" t="n">
        <v>188559</v>
      </c>
      <c r="G89" t="n">
        <v>204227</v>
      </c>
      <c r="H89" t="n">
        <v>178501</v>
      </c>
      <c r="I89" t="n">
        <v>179358</v>
      </c>
      <c r="J89" t="n">
        <v>59065</v>
      </c>
      <c r="K89" t="n">
        <v>68738</v>
      </c>
      <c r="L89" t="n">
        <v>48444</v>
      </c>
      <c r="M89" t="n">
        <v>44757</v>
      </c>
      <c r="N89" t="n">
        <v>15397</v>
      </c>
      <c r="O89" t="n">
        <v>15991</v>
      </c>
    </row>
    <row r="90">
      <c r="A90" t="inlineStr">
        <is>
          <t>VALIUM</t>
        </is>
      </c>
      <c r="B90" t="inlineStr">
        <is>
          <t>ETICO</t>
        </is>
      </c>
      <c r="C90" t="inlineStr">
        <is>
          <t>DIAZEPAM</t>
        </is>
      </c>
      <c r="D90" t="n">
        <v>554244</v>
      </c>
      <c r="E90" t="n">
        <v>520123</v>
      </c>
      <c r="F90" t="n">
        <v>188559</v>
      </c>
      <c r="G90" t="n">
        <v>204227</v>
      </c>
      <c r="H90" t="n">
        <v>178501</v>
      </c>
      <c r="I90" t="n">
        <v>179358</v>
      </c>
      <c r="J90" t="n">
        <v>59065</v>
      </c>
      <c r="K90" t="n">
        <v>68738</v>
      </c>
      <c r="L90" t="n">
        <v>48444</v>
      </c>
      <c r="M90" t="n">
        <v>44757</v>
      </c>
      <c r="N90" t="n">
        <v>15397</v>
      </c>
      <c r="O90" t="n">
        <v>15991</v>
      </c>
    </row>
    <row r="91">
      <c r="A91" t="inlineStr">
        <is>
          <t>VALIUM</t>
        </is>
      </c>
      <c r="B91" t="inlineStr">
        <is>
          <t>POPULAR</t>
        </is>
      </c>
      <c r="C91" t="inlineStr">
        <is>
          <t>DIAZEPAM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PGB</t>
        </is>
      </c>
      <c r="B92" t="inlineStr">
        <is>
          <t>TOTAL</t>
        </is>
      </c>
      <c r="C92" t="inlineStr">
        <is>
          <t>PREGABALIN</t>
        </is>
      </c>
      <c r="D92" t="n">
        <v>80598</v>
      </c>
      <c r="E92" t="n">
        <v>75051</v>
      </c>
      <c r="F92" t="n">
        <v>2622636</v>
      </c>
      <c r="G92" t="n">
        <v>2669499</v>
      </c>
      <c r="H92" t="n">
        <v>22964</v>
      </c>
      <c r="I92" t="n">
        <v>24371</v>
      </c>
      <c r="J92" t="n">
        <v>840184</v>
      </c>
      <c r="K92" t="n">
        <v>877599</v>
      </c>
      <c r="L92" t="n">
        <v>5996</v>
      </c>
      <c r="M92" t="n">
        <v>6107</v>
      </c>
      <c r="N92" t="n">
        <v>219019</v>
      </c>
      <c r="O92" t="n">
        <v>220546</v>
      </c>
    </row>
    <row r="93">
      <c r="A93" t="inlineStr">
        <is>
          <t>PGB</t>
        </is>
      </c>
      <c r="B93" t="inlineStr">
        <is>
          <t>ETICO</t>
        </is>
      </c>
      <c r="C93" t="inlineStr">
        <is>
          <t>PREGABALIN</t>
        </is>
      </c>
      <c r="D93" t="n">
        <v>80598</v>
      </c>
      <c r="E93" t="n">
        <v>75051</v>
      </c>
      <c r="F93" t="n">
        <v>2622636</v>
      </c>
      <c r="G93" t="n">
        <v>2669499</v>
      </c>
      <c r="H93" t="n">
        <v>22964</v>
      </c>
      <c r="I93" t="n">
        <v>24371</v>
      </c>
      <c r="J93" t="n">
        <v>840184</v>
      </c>
      <c r="K93" t="n">
        <v>877599</v>
      </c>
      <c r="L93" t="n">
        <v>5996</v>
      </c>
      <c r="M93" t="n">
        <v>6107</v>
      </c>
      <c r="N93" t="n">
        <v>219019</v>
      </c>
      <c r="O93" t="n">
        <v>220546</v>
      </c>
    </row>
    <row r="94">
      <c r="A94" t="inlineStr">
        <is>
          <t>PGB</t>
        </is>
      </c>
      <c r="B94" t="inlineStr">
        <is>
          <t>POPULAR</t>
        </is>
      </c>
      <c r="C94" t="inlineStr">
        <is>
          <t>PREGABALIN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QTP</t>
        </is>
      </c>
      <c r="B95" t="inlineStr">
        <is>
          <t>TOTAL</t>
        </is>
      </c>
      <c r="C95" t="inlineStr">
        <is>
          <t>QUETIAPINE</t>
        </is>
      </c>
      <c r="D95" t="n">
        <v>27358</v>
      </c>
      <c r="E95" t="n">
        <v>23002</v>
      </c>
      <c r="F95" t="n">
        <v>3011532</v>
      </c>
      <c r="G95" t="n">
        <v>3168192</v>
      </c>
      <c r="H95" t="n">
        <v>6577</v>
      </c>
      <c r="I95" t="n">
        <v>7819</v>
      </c>
      <c r="J95" t="n">
        <v>988171</v>
      </c>
      <c r="K95" t="n">
        <v>1055307</v>
      </c>
      <c r="L95" t="n">
        <v>1640</v>
      </c>
      <c r="M95" t="n">
        <v>1995</v>
      </c>
      <c r="N95" t="n">
        <v>258296</v>
      </c>
      <c r="O95" t="n">
        <v>271273</v>
      </c>
    </row>
    <row r="96">
      <c r="A96" t="inlineStr">
        <is>
          <t>QTP</t>
        </is>
      </c>
      <c r="B96" t="inlineStr">
        <is>
          <t>ETICO</t>
        </is>
      </c>
      <c r="C96" t="inlineStr">
        <is>
          <t>QUETIAPINE</t>
        </is>
      </c>
      <c r="D96" t="n">
        <v>27358</v>
      </c>
      <c r="E96" t="n">
        <v>23002</v>
      </c>
      <c r="F96" t="n">
        <v>3011532</v>
      </c>
      <c r="G96" t="n">
        <v>3168192</v>
      </c>
      <c r="H96" t="n">
        <v>6577</v>
      </c>
      <c r="I96" t="n">
        <v>7819</v>
      </c>
      <c r="J96" t="n">
        <v>988171</v>
      </c>
      <c r="K96" t="n">
        <v>1055307</v>
      </c>
      <c r="L96" t="n">
        <v>1640</v>
      </c>
      <c r="M96" t="n">
        <v>1995</v>
      </c>
      <c r="N96" t="n">
        <v>258296</v>
      </c>
      <c r="O96" t="n">
        <v>271273</v>
      </c>
    </row>
    <row r="97">
      <c r="A97" t="inlineStr">
        <is>
          <t>QTP</t>
        </is>
      </c>
      <c r="B97" t="inlineStr">
        <is>
          <t>POPULAR</t>
        </is>
      </c>
      <c r="C97" t="inlineStr">
        <is>
          <t>QUETIAPINE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MADOPAR</t>
        </is>
      </c>
      <c r="B98" t="inlineStr">
        <is>
          <t>TOTAL</t>
        </is>
      </c>
      <c r="C98" t="inlineStr">
        <is>
          <t>BENSERAZIDE_LEVODOPA</t>
        </is>
      </c>
      <c r="D98" t="n">
        <v>337058</v>
      </c>
      <c r="E98" t="n">
        <v>334351</v>
      </c>
      <c r="F98" t="n">
        <v>0</v>
      </c>
      <c r="G98" t="n">
        <v>0</v>
      </c>
      <c r="H98" t="n">
        <v>109288</v>
      </c>
      <c r="I98" t="n">
        <v>109746</v>
      </c>
      <c r="J98" t="n">
        <v>0</v>
      </c>
      <c r="K98" t="n">
        <v>0</v>
      </c>
      <c r="L98" t="n">
        <v>28116</v>
      </c>
      <c r="M98" t="n">
        <v>27956</v>
      </c>
      <c r="N98" t="n">
        <v>0</v>
      </c>
      <c r="O98" t="n">
        <v>0</v>
      </c>
    </row>
    <row r="99">
      <c r="A99" t="inlineStr">
        <is>
          <t>MADOPAR</t>
        </is>
      </c>
      <c r="B99" t="inlineStr">
        <is>
          <t>ETICO</t>
        </is>
      </c>
      <c r="C99" t="inlineStr">
        <is>
          <t>BENSERAZIDE_LEVODOPA</t>
        </is>
      </c>
      <c r="D99" t="n">
        <v>337058</v>
      </c>
      <c r="E99" t="n">
        <v>334351</v>
      </c>
      <c r="F99" t="n">
        <v>0</v>
      </c>
      <c r="G99" t="n">
        <v>0</v>
      </c>
      <c r="H99" t="n">
        <v>109288</v>
      </c>
      <c r="I99" t="n">
        <v>109746</v>
      </c>
      <c r="J99" t="n">
        <v>0</v>
      </c>
      <c r="K99" t="n">
        <v>0</v>
      </c>
      <c r="L99" t="n">
        <v>28116</v>
      </c>
      <c r="M99" t="n">
        <v>27956</v>
      </c>
      <c r="N99" t="n">
        <v>0</v>
      </c>
      <c r="O99" t="n">
        <v>0</v>
      </c>
    </row>
    <row r="100">
      <c r="A100" t="inlineStr">
        <is>
          <t>MADOPAR</t>
        </is>
      </c>
      <c r="B100" t="inlineStr">
        <is>
          <t>POPULAR</t>
        </is>
      </c>
      <c r="C100" t="inlineStr">
        <is>
          <t>BENSERAZIDE_LEVODOPA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ACNECLIN</t>
        </is>
      </c>
      <c r="B101" t="inlineStr">
        <is>
          <t>TOTAL</t>
        </is>
      </c>
      <c r="C101" t="inlineStr">
        <is>
          <t>ADAPALENE_BENZOYL PEROXIDE | MINOCYCLINE</t>
        </is>
      </c>
      <c r="D101" t="n">
        <v>144197</v>
      </c>
      <c r="E101" t="n">
        <v>145030</v>
      </c>
      <c r="F101" t="n">
        <v>308151</v>
      </c>
      <c r="G101" t="n">
        <v>301893</v>
      </c>
      <c r="H101" t="n">
        <v>41938</v>
      </c>
      <c r="I101" t="n">
        <v>39436</v>
      </c>
      <c r="J101" t="n">
        <v>93047</v>
      </c>
      <c r="K101" t="n">
        <v>90131</v>
      </c>
      <c r="L101" t="n">
        <v>12432</v>
      </c>
      <c r="M101" t="n">
        <v>11324</v>
      </c>
      <c r="N101" t="n">
        <v>26826</v>
      </c>
      <c r="O101" t="n">
        <v>25930</v>
      </c>
    </row>
    <row r="102">
      <c r="A102" t="inlineStr">
        <is>
          <t>ACNECLIN</t>
        </is>
      </c>
      <c r="B102" t="inlineStr">
        <is>
          <t>ETICO</t>
        </is>
      </c>
      <c r="C102" t="inlineStr">
        <is>
          <t>ADAPALENE_BENZOYL PEROXIDE | MINOCYCLINE</t>
        </is>
      </c>
      <c r="D102" t="n">
        <v>144197</v>
      </c>
      <c r="E102" t="n">
        <v>145030</v>
      </c>
      <c r="F102" t="n">
        <v>308151</v>
      </c>
      <c r="G102" t="n">
        <v>301893</v>
      </c>
      <c r="H102" t="n">
        <v>41938</v>
      </c>
      <c r="I102" t="n">
        <v>39436</v>
      </c>
      <c r="J102" t="n">
        <v>93047</v>
      </c>
      <c r="K102" t="n">
        <v>90131</v>
      </c>
      <c r="L102" t="n">
        <v>12432</v>
      </c>
      <c r="M102" t="n">
        <v>11324</v>
      </c>
      <c r="N102" t="n">
        <v>26826</v>
      </c>
      <c r="O102" t="n">
        <v>25930</v>
      </c>
    </row>
    <row r="103">
      <c r="A103" t="inlineStr">
        <is>
          <t>ACNECLIN</t>
        </is>
      </c>
      <c r="B103" t="inlineStr">
        <is>
          <t>POPULAR</t>
        </is>
      </c>
      <c r="C103" t="inlineStr">
        <is>
          <t>ADAPALENE_BENZOYL PEROXIDE | MINOCYCLINE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CLOBESOL</t>
        </is>
      </c>
      <c r="B104" t="inlineStr">
        <is>
          <t>TOTAL</t>
        </is>
      </c>
      <c r="C104" t="inlineStr">
        <is>
          <t>CLOBETASOL</t>
        </is>
      </c>
      <c r="D104" t="n">
        <v>155052</v>
      </c>
      <c r="E104" t="n">
        <v>174307</v>
      </c>
      <c r="F104" t="n">
        <v>1369835</v>
      </c>
      <c r="G104" t="n">
        <v>1272278</v>
      </c>
      <c r="H104" t="n">
        <v>51990</v>
      </c>
      <c r="I104" t="n">
        <v>56287</v>
      </c>
      <c r="J104" t="n">
        <v>437260</v>
      </c>
      <c r="K104" t="n">
        <v>405017</v>
      </c>
      <c r="L104" t="n">
        <v>12799</v>
      </c>
      <c r="M104" t="n">
        <v>13529</v>
      </c>
      <c r="N104" t="n">
        <v>107721</v>
      </c>
      <c r="O104" t="n">
        <v>92635</v>
      </c>
    </row>
    <row r="105">
      <c r="A105" t="inlineStr">
        <is>
          <t>CLOBESOL</t>
        </is>
      </c>
      <c r="B105" t="inlineStr">
        <is>
          <t>ETICO</t>
        </is>
      </c>
      <c r="C105" t="inlineStr">
        <is>
          <t>CLOBETASOL</t>
        </is>
      </c>
      <c r="D105" t="n">
        <v>155052</v>
      </c>
      <c r="E105" t="n">
        <v>174307</v>
      </c>
      <c r="F105" t="n">
        <v>1369835</v>
      </c>
      <c r="G105" t="n">
        <v>1272278</v>
      </c>
      <c r="H105" t="n">
        <v>51990</v>
      </c>
      <c r="I105" t="n">
        <v>56287</v>
      </c>
      <c r="J105" t="n">
        <v>437260</v>
      </c>
      <c r="K105" t="n">
        <v>405017</v>
      </c>
      <c r="L105" t="n">
        <v>12799</v>
      </c>
      <c r="M105" t="n">
        <v>13529</v>
      </c>
      <c r="N105" t="n">
        <v>107721</v>
      </c>
      <c r="O105" t="n">
        <v>92635</v>
      </c>
    </row>
    <row r="106">
      <c r="A106" t="inlineStr">
        <is>
          <t>CLOBESOL</t>
        </is>
      </c>
      <c r="B106" t="inlineStr">
        <is>
          <t>POPULAR</t>
        </is>
      </c>
      <c r="C106" t="inlineStr">
        <is>
          <t>CLOBETASOL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MICOMAZOL</t>
        </is>
      </c>
      <c r="B107" t="inlineStr">
        <is>
          <t>TOTAL</t>
        </is>
      </c>
      <c r="C107" t="inlineStr">
        <is>
          <t>BETAMETHASONE_CLOTRIMAZOLE | CICLOPIROX | CLOTRIMAZOLE</t>
        </is>
      </c>
      <c r="D107" t="n">
        <v>237238</v>
      </c>
      <c r="E107" t="n">
        <v>265542</v>
      </c>
      <c r="F107" t="n">
        <v>2635017</v>
      </c>
      <c r="G107" t="n">
        <v>2704804</v>
      </c>
      <c r="H107" t="n">
        <v>79153</v>
      </c>
      <c r="I107" t="n">
        <v>91981</v>
      </c>
      <c r="J107" t="n">
        <v>888146</v>
      </c>
      <c r="K107" t="n">
        <v>820915</v>
      </c>
      <c r="L107" t="n">
        <v>20802</v>
      </c>
      <c r="M107" t="n">
        <v>23427</v>
      </c>
      <c r="N107" t="n">
        <v>212574</v>
      </c>
      <c r="O107" t="n">
        <v>217629</v>
      </c>
    </row>
    <row r="108">
      <c r="A108" t="inlineStr">
        <is>
          <t>MICOMAZOL</t>
        </is>
      </c>
      <c r="B108" t="inlineStr">
        <is>
          <t>ETICO</t>
        </is>
      </c>
      <c r="C108" t="inlineStr">
        <is>
          <t>BETAMETHASONE_CLOTRIMAZOLE | CICLOPIROX | CLOTRIMAZOLE</t>
        </is>
      </c>
      <c r="D108" t="n">
        <v>237238</v>
      </c>
      <c r="E108" t="n">
        <v>265542</v>
      </c>
      <c r="F108" t="n">
        <v>587307</v>
      </c>
      <c r="G108" t="n">
        <v>614302</v>
      </c>
      <c r="H108" t="n">
        <v>79153</v>
      </c>
      <c r="I108" t="n">
        <v>91981</v>
      </c>
      <c r="J108" t="n">
        <v>204291</v>
      </c>
      <c r="K108" t="n">
        <v>205666</v>
      </c>
      <c r="L108" t="n">
        <v>20802</v>
      </c>
      <c r="M108" t="n">
        <v>23427</v>
      </c>
      <c r="N108" t="n">
        <v>46732</v>
      </c>
      <c r="O108" t="n">
        <v>51243</v>
      </c>
    </row>
    <row r="109">
      <c r="A109" t="inlineStr">
        <is>
          <t>MICOMAZOL</t>
        </is>
      </c>
      <c r="B109" t="inlineStr">
        <is>
          <t>POPULAR</t>
        </is>
      </c>
      <c r="C109" t="inlineStr">
        <is>
          <t>BETAMETHASONE_CLOTRIMAZOLE | CICLOPIROX | CLOTRIMAZOLE</t>
        </is>
      </c>
      <c r="D109" t="n">
        <v>0</v>
      </c>
      <c r="E109" t="n">
        <v>0</v>
      </c>
      <c r="F109" t="n">
        <v>2047710</v>
      </c>
      <c r="G109" t="n">
        <v>2090502</v>
      </c>
      <c r="H109" t="n">
        <v>0</v>
      </c>
      <c r="I109" t="n">
        <v>0</v>
      </c>
      <c r="J109" t="n">
        <v>683855</v>
      </c>
      <c r="K109" t="n">
        <v>615249</v>
      </c>
      <c r="L109" t="n">
        <v>0</v>
      </c>
      <c r="M109" t="n">
        <v>0</v>
      </c>
      <c r="N109" t="n">
        <v>165842</v>
      </c>
      <c r="O109" t="n">
        <v>166386</v>
      </c>
    </row>
    <row r="110">
      <c r="A110" t="inlineStr">
        <is>
          <t>MICROSONA</t>
        </is>
      </c>
      <c r="B110" t="inlineStr">
        <is>
          <t>TOTAL</t>
        </is>
      </c>
      <c r="C110" t="inlineStr">
        <is>
          <t>GENTAMICIN_HYDROCORTISONE_KETOCONAZOLE | HYDROCORTISONE | ZINC</t>
        </is>
      </c>
      <c r="D110" t="n">
        <v>298330</v>
      </c>
      <c r="E110" t="n">
        <v>306414</v>
      </c>
      <c r="F110" t="n">
        <v>623442</v>
      </c>
      <c r="G110" t="n">
        <v>661445</v>
      </c>
      <c r="H110" t="n">
        <v>90519</v>
      </c>
      <c r="I110" t="n">
        <v>96972</v>
      </c>
      <c r="J110" t="n">
        <v>205588</v>
      </c>
      <c r="K110" t="n">
        <v>221162</v>
      </c>
      <c r="L110" t="n">
        <v>22365</v>
      </c>
      <c r="M110" t="n">
        <v>22777</v>
      </c>
      <c r="N110" t="n">
        <v>55657</v>
      </c>
      <c r="O110" t="n">
        <v>57319</v>
      </c>
    </row>
    <row r="111">
      <c r="A111" t="inlineStr">
        <is>
          <t>MICROSONA</t>
        </is>
      </c>
      <c r="B111" t="inlineStr">
        <is>
          <t>ETICO</t>
        </is>
      </c>
      <c r="C111" t="inlineStr">
        <is>
          <t>GENTAMICIN_HYDROCORTISONE_KETOCONAZOLE | HYDROCORTISONE | ZINC</t>
        </is>
      </c>
      <c r="D111" t="n">
        <v>296425</v>
      </c>
      <c r="E111" t="n">
        <v>306407</v>
      </c>
      <c r="F111" t="n">
        <v>527596</v>
      </c>
      <c r="G111" t="n">
        <v>570979</v>
      </c>
      <c r="H111" t="n">
        <v>90315</v>
      </c>
      <c r="I111" t="n">
        <v>96972</v>
      </c>
      <c r="J111" t="n">
        <v>169732</v>
      </c>
      <c r="K111" t="n">
        <v>189327</v>
      </c>
      <c r="L111" t="n">
        <v>22341</v>
      </c>
      <c r="M111" t="n">
        <v>22777</v>
      </c>
      <c r="N111" t="n">
        <v>43492</v>
      </c>
      <c r="O111" t="n">
        <v>47194</v>
      </c>
    </row>
    <row r="112">
      <c r="A112" t="inlineStr">
        <is>
          <t>MICROSONA</t>
        </is>
      </c>
      <c r="B112" t="inlineStr">
        <is>
          <t>POPULAR</t>
        </is>
      </c>
      <c r="C112" t="inlineStr">
        <is>
          <t>GENTAMICIN_HYDROCORTISONE_KETOCONAZOLE | HYDROCORTISONE | ZINC</t>
        </is>
      </c>
      <c r="D112" t="n">
        <v>1905</v>
      </c>
      <c r="E112" t="n">
        <v>7</v>
      </c>
      <c r="F112" t="n">
        <v>95846</v>
      </c>
      <c r="G112" t="n">
        <v>90466</v>
      </c>
      <c r="H112" t="n">
        <v>204</v>
      </c>
      <c r="I112" t="n">
        <v>0</v>
      </c>
      <c r="J112" t="n">
        <v>35856</v>
      </c>
      <c r="K112" t="n">
        <v>31835</v>
      </c>
      <c r="L112" t="n">
        <v>24</v>
      </c>
      <c r="M112" t="n">
        <v>0</v>
      </c>
      <c r="N112" t="n">
        <v>12165</v>
      </c>
      <c r="O112" t="n">
        <v>10125</v>
      </c>
    </row>
    <row r="113">
      <c r="A113" t="inlineStr">
        <is>
          <t>PALDAR</t>
        </is>
      </c>
      <c r="B113" t="inlineStr">
        <is>
          <t>TOTAL</t>
        </is>
      </c>
      <c r="C113" t="inlineStr">
        <is>
          <t>HYDROCORTISONE_MUPIROCIN | MUPIROCIN</t>
        </is>
      </c>
      <c r="D113" t="n">
        <v>144382</v>
      </c>
      <c r="E113" t="n">
        <v>170031</v>
      </c>
      <c r="F113" t="n">
        <v>443774</v>
      </c>
      <c r="G113" t="n">
        <v>499351</v>
      </c>
      <c r="H113" t="n">
        <v>51729</v>
      </c>
      <c r="I113" t="n">
        <v>60131</v>
      </c>
      <c r="J113" t="n">
        <v>161569</v>
      </c>
      <c r="K113" t="n">
        <v>183688</v>
      </c>
      <c r="L113" t="n">
        <v>13564</v>
      </c>
      <c r="M113" t="n">
        <v>15045</v>
      </c>
      <c r="N113" t="n">
        <v>39821</v>
      </c>
      <c r="O113" t="n">
        <v>46280</v>
      </c>
    </row>
    <row r="114">
      <c r="A114" t="inlineStr">
        <is>
          <t>PALDAR</t>
        </is>
      </c>
      <c r="B114" t="inlineStr">
        <is>
          <t>ETICO</t>
        </is>
      </c>
      <c r="C114" t="inlineStr">
        <is>
          <t>HYDROCORTISONE_MUPIROCIN | MUPIROCIN</t>
        </is>
      </c>
      <c r="D114" t="n">
        <v>144382</v>
      </c>
      <c r="E114" t="n">
        <v>170031</v>
      </c>
      <c r="F114" t="n">
        <v>443774</v>
      </c>
      <c r="G114" t="n">
        <v>499351</v>
      </c>
      <c r="H114" t="n">
        <v>51729</v>
      </c>
      <c r="I114" t="n">
        <v>60131</v>
      </c>
      <c r="J114" t="n">
        <v>161569</v>
      </c>
      <c r="K114" t="n">
        <v>183688</v>
      </c>
      <c r="L114" t="n">
        <v>13564</v>
      </c>
      <c r="M114" t="n">
        <v>15045</v>
      </c>
      <c r="N114" t="n">
        <v>39821</v>
      </c>
      <c r="O114" t="n">
        <v>46280</v>
      </c>
    </row>
    <row r="115">
      <c r="A115" t="inlineStr">
        <is>
          <t>PALDAR</t>
        </is>
      </c>
      <c r="B115" t="inlineStr">
        <is>
          <t>POPULAR</t>
        </is>
      </c>
      <c r="C115" t="inlineStr">
        <is>
          <t>HYDROCORTISONE_MUPIROCIN | MUPIROCIN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ROACCUTAN</t>
        </is>
      </c>
      <c r="B116" t="inlineStr">
        <is>
          <t>TOTAL</t>
        </is>
      </c>
      <c r="C116" t="inlineStr">
        <is>
          <t>ISOTRETINOIN</t>
        </is>
      </c>
      <c r="D116" t="n">
        <v>166588</v>
      </c>
      <c r="E116" t="n">
        <v>198075</v>
      </c>
      <c r="F116" t="n">
        <v>108783</v>
      </c>
      <c r="G116" t="n">
        <v>113892</v>
      </c>
      <c r="H116" t="n">
        <v>51488</v>
      </c>
      <c r="I116" t="n">
        <v>53820</v>
      </c>
      <c r="J116" t="n">
        <v>29272</v>
      </c>
      <c r="K116" t="n">
        <v>33814</v>
      </c>
      <c r="L116" t="n">
        <v>15100</v>
      </c>
      <c r="M116" t="n">
        <v>15091</v>
      </c>
      <c r="N116" t="n">
        <v>8449</v>
      </c>
      <c r="O116" t="n">
        <v>9993</v>
      </c>
    </row>
    <row r="117">
      <c r="A117" t="inlineStr">
        <is>
          <t>ROACCUTAN</t>
        </is>
      </c>
      <c r="B117" t="inlineStr">
        <is>
          <t>ETICO</t>
        </is>
      </c>
      <c r="C117" t="inlineStr">
        <is>
          <t>ISOTRETINOIN</t>
        </is>
      </c>
      <c r="D117" t="n">
        <v>166588</v>
      </c>
      <c r="E117" t="n">
        <v>198075</v>
      </c>
      <c r="F117" t="n">
        <v>108783</v>
      </c>
      <c r="G117" t="n">
        <v>113892</v>
      </c>
      <c r="H117" t="n">
        <v>51488</v>
      </c>
      <c r="I117" t="n">
        <v>53820</v>
      </c>
      <c r="J117" t="n">
        <v>29272</v>
      </c>
      <c r="K117" t="n">
        <v>33814</v>
      </c>
      <c r="L117" t="n">
        <v>15100</v>
      </c>
      <c r="M117" t="n">
        <v>15091</v>
      </c>
      <c r="N117" t="n">
        <v>8449</v>
      </c>
      <c r="O117" t="n">
        <v>9993</v>
      </c>
    </row>
    <row r="118">
      <c r="A118" t="inlineStr">
        <is>
          <t>ROACCUTAN</t>
        </is>
      </c>
      <c r="B118" t="inlineStr">
        <is>
          <t>POPULAR</t>
        </is>
      </c>
      <c r="C118" t="inlineStr">
        <is>
          <t>ISOTRETINOIN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MAGNUS</t>
        </is>
      </c>
      <c r="B119" t="inlineStr">
        <is>
          <t>TOTAL</t>
        </is>
      </c>
      <c r="C119" t="inlineStr">
        <is>
          <t>SILDENAFIL | TADALAFIL</t>
        </is>
      </c>
      <c r="D119" t="n">
        <v>864676</v>
      </c>
      <c r="E119" t="n">
        <v>834788</v>
      </c>
      <c r="F119" t="n">
        <v>2895872</v>
      </c>
      <c r="G119" t="n">
        <v>2887935</v>
      </c>
      <c r="H119" t="n">
        <v>283602</v>
      </c>
      <c r="I119" t="n">
        <v>287100</v>
      </c>
      <c r="J119" t="n">
        <v>965561</v>
      </c>
      <c r="K119" t="n">
        <v>946046</v>
      </c>
      <c r="L119" t="n">
        <v>68637</v>
      </c>
      <c r="M119" t="n">
        <v>73015</v>
      </c>
      <c r="N119" t="n">
        <v>241143</v>
      </c>
      <c r="O119" t="n">
        <v>238989</v>
      </c>
    </row>
    <row r="120">
      <c r="A120" t="inlineStr">
        <is>
          <t>MAGNUS</t>
        </is>
      </c>
      <c r="B120" t="inlineStr">
        <is>
          <t>ETICO</t>
        </is>
      </c>
      <c r="C120" t="inlineStr">
        <is>
          <t>SILDENAFIL | TADALAFIL</t>
        </is>
      </c>
      <c r="D120" t="n">
        <v>864676</v>
      </c>
      <c r="E120" t="n">
        <v>834788</v>
      </c>
      <c r="F120" t="n">
        <v>2895872</v>
      </c>
      <c r="G120" t="n">
        <v>2887935</v>
      </c>
      <c r="H120" t="n">
        <v>283602</v>
      </c>
      <c r="I120" t="n">
        <v>287100</v>
      </c>
      <c r="J120" t="n">
        <v>965561</v>
      </c>
      <c r="K120" t="n">
        <v>946046</v>
      </c>
      <c r="L120" t="n">
        <v>68637</v>
      </c>
      <c r="M120" t="n">
        <v>73015</v>
      </c>
      <c r="N120" t="n">
        <v>241143</v>
      </c>
      <c r="O120" t="n">
        <v>238989</v>
      </c>
    </row>
    <row r="121">
      <c r="A121" t="inlineStr">
        <is>
          <t>MAGNUS</t>
        </is>
      </c>
      <c r="B121" t="inlineStr">
        <is>
          <t>POPULAR</t>
        </is>
      </c>
      <c r="C121" t="inlineStr">
        <is>
          <t>SILDENAFIL | TADALAFIL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TETRALGIN</t>
        </is>
      </c>
      <c r="B122" t="inlineStr">
        <is>
          <t>TOTAL</t>
        </is>
      </c>
      <c r="C122" t="inlineStr">
        <is>
          <t>ACETYLSALICYLIC ACID_CAFFEINE_PARACETAMOL | CAFFEINE_CHLORPHENAMINE_DOMPERIDONE_ERGOTAMINE_METAMIZOLE SODIUM | CAFFEINE_CHLORPHENAMINE_ERGOTAMINE_METAMIZOLE SODIUM_METOCLOPRAMIDE</t>
        </is>
      </c>
      <c r="D122" t="n">
        <v>372991</v>
      </c>
      <c r="E122" t="n">
        <v>380264</v>
      </c>
      <c r="F122" t="n">
        <v>587030</v>
      </c>
      <c r="G122" t="n">
        <v>821051</v>
      </c>
      <c r="H122" t="n">
        <v>126028</v>
      </c>
      <c r="I122" t="n">
        <v>123824</v>
      </c>
      <c r="J122" t="n">
        <v>193238</v>
      </c>
      <c r="K122" t="n">
        <v>287364</v>
      </c>
      <c r="L122" t="n">
        <v>32036</v>
      </c>
      <c r="M122" t="n">
        <v>30664</v>
      </c>
      <c r="N122" t="n">
        <v>43358</v>
      </c>
      <c r="O122" t="n">
        <v>83378</v>
      </c>
    </row>
    <row r="123">
      <c r="A123" t="inlineStr">
        <is>
          <t>TETRALGIN</t>
        </is>
      </c>
      <c r="B123" t="inlineStr">
        <is>
          <t>ETICO</t>
        </is>
      </c>
      <c r="C123" t="inlineStr">
        <is>
          <t>ACETYLSALICYLIC ACID_CAFFEINE_PARACETAMOL | CAFFEINE_CHLORPHENAMINE_DOMPERIDONE_ERGOTAMINE_METAMIZOLE SODIUM | CAFFEINE_CHLORPHENAMINE_ERGOTAMINE_METAMIZOLE SODIUM_METOCLOPRAMIDE</t>
        </is>
      </c>
      <c r="D123" t="n">
        <v>367470</v>
      </c>
      <c r="E123" t="n">
        <v>380097</v>
      </c>
      <c r="F123" t="n">
        <v>0</v>
      </c>
      <c r="G123" t="n">
        <v>0</v>
      </c>
      <c r="H123" t="n">
        <v>124442</v>
      </c>
      <c r="I123" t="n">
        <v>123824</v>
      </c>
      <c r="J123" t="n">
        <v>0</v>
      </c>
      <c r="K123" t="n">
        <v>0</v>
      </c>
      <c r="L123" t="n">
        <v>31801</v>
      </c>
      <c r="M123" t="n">
        <v>30664</v>
      </c>
      <c r="N123" t="n">
        <v>0</v>
      </c>
      <c r="O123" t="n">
        <v>0</v>
      </c>
    </row>
    <row r="124">
      <c r="A124" t="inlineStr">
        <is>
          <t>TETRALGIN</t>
        </is>
      </c>
      <c r="B124" t="inlineStr">
        <is>
          <t>POPULAR</t>
        </is>
      </c>
      <c r="C124" t="inlineStr">
        <is>
          <t>ACETYLSALICYLIC ACID_CAFFEINE_PARACETAMOL | CAFFEINE_CHLORPHENAMINE_DOMPERIDONE_ERGOTAMINE_METAMIZOLE SODIUM | CAFFEINE_CHLORPHENAMINE_ERGOTAMINE_METAMIZOLE SODIUM_METOCLOPRAMIDE</t>
        </is>
      </c>
      <c r="D124" t="n">
        <v>5521</v>
      </c>
      <c r="E124" t="n">
        <v>167</v>
      </c>
      <c r="F124" t="n">
        <v>587030</v>
      </c>
      <c r="G124" t="n">
        <v>821051</v>
      </c>
      <c r="H124" t="n">
        <v>1586</v>
      </c>
      <c r="I124" t="n">
        <v>0</v>
      </c>
      <c r="J124" t="n">
        <v>193238</v>
      </c>
      <c r="K124" t="n">
        <v>287364</v>
      </c>
      <c r="L124" t="n">
        <v>235</v>
      </c>
      <c r="M124" t="n">
        <v>0</v>
      </c>
      <c r="N124" t="n">
        <v>43358</v>
      </c>
      <c r="O124" t="n">
        <v>83378</v>
      </c>
    </row>
    <row r="125">
      <c r="A125" t="inlineStr">
        <is>
          <t>LURAP</t>
        </is>
      </c>
      <c r="B125" t="inlineStr">
        <is>
          <t>TOTAL</t>
        </is>
      </c>
      <c r="C125" t="inlineStr">
        <is>
          <t>LURASIDONE</t>
        </is>
      </c>
      <c r="D125" t="n">
        <v>12247</v>
      </c>
      <c r="E125" t="n">
        <v>11243</v>
      </c>
      <c r="F125" t="n">
        <v>56788</v>
      </c>
      <c r="G125" t="n">
        <v>55903</v>
      </c>
      <c r="H125" t="n">
        <v>3387</v>
      </c>
      <c r="I125" t="n">
        <v>3778</v>
      </c>
      <c r="J125" t="n">
        <v>18102</v>
      </c>
      <c r="K125" t="n">
        <v>18371</v>
      </c>
      <c r="L125" t="n">
        <v>892</v>
      </c>
      <c r="M125" t="n">
        <v>972</v>
      </c>
      <c r="N125" t="n">
        <v>4908</v>
      </c>
      <c r="O125" t="n">
        <v>4893</v>
      </c>
    </row>
    <row r="126">
      <c r="A126" t="inlineStr">
        <is>
          <t>LURAP</t>
        </is>
      </c>
      <c r="B126" t="inlineStr">
        <is>
          <t>ETICO</t>
        </is>
      </c>
      <c r="C126" t="inlineStr">
        <is>
          <t>LURASIDONE</t>
        </is>
      </c>
      <c r="D126" t="n">
        <v>12247</v>
      </c>
      <c r="E126" t="n">
        <v>11243</v>
      </c>
      <c r="F126" t="n">
        <v>56788</v>
      </c>
      <c r="G126" t="n">
        <v>55903</v>
      </c>
      <c r="H126" t="n">
        <v>3387</v>
      </c>
      <c r="I126" t="n">
        <v>3778</v>
      </c>
      <c r="J126" t="n">
        <v>18102</v>
      </c>
      <c r="K126" t="n">
        <v>18371</v>
      </c>
      <c r="L126" t="n">
        <v>892</v>
      </c>
      <c r="M126" t="n">
        <v>972</v>
      </c>
      <c r="N126" t="n">
        <v>4908</v>
      </c>
      <c r="O126" t="n">
        <v>4893</v>
      </c>
    </row>
    <row r="127">
      <c r="A127" t="inlineStr">
        <is>
          <t>LURAP</t>
        </is>
      </c>
      <c r="B127" t="inlineStr">
        <is>
          <t>POPULAR</t>
        </is>
      </c>
      <c r="C127" t="inlineStr">
        <is>
          <t>LURASIDONE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BREXIL</t>
        </is>
      </c>
      <c r="B128" t="inlineStr">
        <is>
          <t>TOTAL</t>
        </is>
      </c>
      <c r="C128" t="inlineStr">
        <is>
          <t>BREXPIPRAZOLE</t>
        </is>
      </c>
      <c r="D128" t="n">
        <v>0</v>
      </c>
      <c r="E128" t="n">
        <v>104</v>
      </c>
      <c r="F128" t="n">
        <v>51613</v>
      </c>
      <c r="G128" t="n">
        <v>52627</v>
      </c>
      <c r="H128" t="n">
        <v>0</v>
      </c>
      <c r="I128" t="n">
        <v>104</v>
      </c>
      <c r="J128" t="n">
        <v>16949</v>
      </c>
      <c r="K128" t="n">
        <v>18186</v>
      </c>
      <c r="L128" t="n">
        <v>0</v>
      </c>
      <c r="M128" t="n">
        <v>104</v>
      </c>
      <c r="N128" t="n">
        <v>4466</v>
      </c>
      <c r="O128" t="n">
        <v>5201</v>
      </c>
    </row>
    <row r="129">
      <c r="A129" t="inlineStr">
        <is>
          <t>BREXIL</t>
        </is>
      </c>
      <c r="B129" t="inlineStr">
        <is>
          <t>ETICO</t>
        </is>
      </c>
      <c r="C129" t="inlineStr">
        <is>
          <t>BREXPIPRAZOLE</t>
        </is>
      </c>
      <c r="D129" t="n">
        <v>0</v>
      </c>
      <c r="E129" t="n">
        <v>104</v>
      </c>
      <c r="F129" t="n">
        <v>51613</v>
      </c>
      <c r="G129" t="n">
        <v>52627</v>
      </c>
      <c r="H129" t="n">
        <v>0</v>
      </c>
      <c r="I129" t="n">
        <v>104</v>
      </c>
      <c r="J129" t="n">
        <v>16949</v>
      </c>
      <c r="K129" t="n">
        <v>18186</v>
      </c>
      <c r="L129" t="n">
        <v>0</v>
      </c>
      <c r="M129" t="n">
        <v>104</v>
      </c>
      <c r="N129" t="n">
        <v>4466</v>
      </c>
      <c r="O129" t="n">
        <v>5201</v>
      </c>
    </row>
    <row r="130">
      <c r="A130" t="inlineStr">
        <is>
          <t>BREXIL</t>
        </is>
      </c>
      <c r="B130" t="inlineStr">
        <is>
          <t>POPULAR</t>
        </is>
      </c>
      <c r="C130" t="inlineStr">
        <is>
          <t>BREXPIPRAZOLE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VALQUIR</t>
        </is>
      </c>
      <c r="B131" t="inlineStr">
        <is>
          <t>TOTAL</t>
        </is>
      </c>
      <c r="C131" t="inlineStr">
        <is>
          <t>VORTIOXETINE</t>
        </is>
      </c>
      <c r="D131" t="n">
        <v>7470</v>
      </c>
      <c r="E131" t="n">
        <v>13604</v>
      </c>
      <c r="F131" t="n">
        <v>212926</v>
      </c>
      <c r="G131" t="n">
        <v>250125</v>
      </c>
      <c r="H131" t="n">
        <v>2389</v>
      </c>
      <c r="I131" t="n">
        <v>5374</v>
      </c>
      <c r="J131" t="n">
        <v>70853</v>
      </c>
      <c r="K131" t="n">
        <v>89619</v>
      </c>
      <c r="L131" t="n">
        <v>635</v>
      </c>
      <c r="M131" t="n">
        <v>1410</v>
      </c>
      <c r="N131" t="n">
        <v>18867</v>
      </c>
      <c r="O131" t="n">
        <v>22947</v>
      </c>
    </row>
    <row r="132">
      <c r="A132" t="inlineStr">
        <is>
          <t>VALQUIR</t>
        </is>
      </c>
      <c r="B132" t="inlineStr">
        <is>
          <t>ETICO</t>
        </is>
      </c>
      <c r="C132" t="inlineStr">
        <is>
          <t>VORTIOXETINE</t>
        </is>
      </c>
      <c r="D132" t="n">
        <v>7470</v>
      </c>
      <c r="E132" t="n">
        <v>13604</v>
      </c>
      <c r="F132" t="n">
        <v>212926</v>
      </c>
      <c r="G132" t="n">
        <v>250125</v>
      </c>
      <c r="H132" t="n">
        <v>2389</v>
      </c>
      <c r="I132" t="n">
        <v>5374</v>
      </c>
      <c r="J132" t="n">
        <v>70853</v>
      </c>
      <c r="K132" t="n">
        <v>89619</v>
      </c>
      <c r="L132" t="n">
        <v>635</v>
      </c>
      <c r="M132" t="n">
        <v>1410</v>
      </c>
      <c r="N132" t="n">
        <v>18867</v>
      </c>
      <c r="O132" t="n">
        <v>22947</v>
      </c>
    </row>
    <row r="133">
      <c r="A133" t="inlineStr">
        <is>
          <t>VALQUIR</t>
        </is>
      </c>
      <c r="B133" t="inlineStr">
        <is>
          <t>POPULAR</t>
        </is>
      </c>
      <c r="C133" t="inlineStr">
        <is>
          <t>VORTIOXETINE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SIDERBLUT</t>
        </is>
      </c>
      <c r="B134" t="inlineStr">
        <is>
          <t>TOTAL</t>
        </is>
      </c>
      <c r="C134" t="inlineStr">
        <is>
          <t>ASCORBIC ACID_CYANOCOBALAMIN_FOLIC ACID_IRON FERROUS | CYANOCOBALAMIN_FOLIC ACID_IRON FERROUS | IRON FERROUS</t>
        </is>
      </c>
      <c r="D134" t="n">
        <v>805946</v>
      </c>
      <c r="E134" t="n">
        <v>829793</v>
      </c>
      <c r="F134" t="n">
        <v>999978</v>
      </c>
      <c r="G134" t="n">
        <v>1013222</v>
      </c>
      <c r="H134" t="n">
        <v>264868</v>
      </c>
      <c r="I134" t="n">
        <v>282754</v>
      </c>
      <c r="J134" t="n">
        <v>329770</v>
      </c>
      <c r="K134" t="n">
        <v>341446</v>
      </c>
      <c r="L134" t="n">
        <v>70117</v>
      </c>
      <c r="M134" t="n">
        <v>72020</v>
      </c>
      <c r="N134" t="n">
        <v>85418</v>
      </c>
      <c r="O134" t="n">
        <v>87039</v>
      </c>
    </row>
    <row r="135">
      <c r="A135" t="inlineStr">
        <is>
          <t>SIDERBLUT</t>
        </is>
      </c>
      <c r="B135" t="inlineStr">
        <is>
          <t>ETICO</t>
        </is>
      </c>
      <c r="C135" t="inlineStr">
        <is>
          <t>ASCORBIC ACID_CYANOCOBALAMIN_FOLIC ACID_IRON FERROUS | CYANOCOBALAMIN_FOLIC ACID_IRON FERROUS | IRON FERROUS</t>
        </is>
      </c>
      <c r="D135" t="n">
        <v>805946</v>
      </c>
      <c r="E135" t="n">
        <v>829793</v>
      </c>
      <c r="F135" t="n">
        <v>999966</v>
      </c>
      <c r="G135" t="n">
        <v>1013016</v>
      </c>
      <c r="H135" t="n">
        <v>264868</v>
      </c>
      <c r="I135" t="n">
        <v>282754</v>
      </c>
      <c r="J135" t="n">
        <v>329758</v>
      </c>
      <c r="K135" t="n">
        <v>341348</v>
      </c>
      <c r="L135" t="n">
        <v>70117</v>
      </c>
      <c r="M135" t="n">
        <v>72020</v>
      </c>
      <c r="N135" t="n">
        <v>85415</v>
      </c>
      <c r="O135" t="n">
        <v>87023</v>
      </c>
    </row>
    <row r="136">
      <c r="A136" t="inlineStr">
        <is>
          <t>SIDERBLUT</t>
        </is>
      </c>
      <c r="B136" t="inlineStr">
        <is>
          <t>POPULAR</t>
        </is>
      </c>
      <c r="C136" t="inlineStr">
        <is>
          <t>ASCORBIC ACID_CYANOCOBALAMIN_FOLIC ACID_IRON FERROUS | CYANOCOBALAMIN_FOLIC ACID_IRON FERROUS | IRON FERROUS</t>
        </is>
      </c>
      <c r="D136" t="n">
        <v>0</v>
      </c>
      <c r="E136" t="n">
        <v>0</v>
      </c>
      <c r="F136" t="n">
        <v>12</v>
      </c>
      <c r="G136" t="n">
        <v>206</v>
      </c>
      <c r="H136" t="n">
        <v>0</v>
      </c>
      <c r="I136" t="n">
        <v>0</v>
      </c>
      <c r="J136" t="n">
        <v>12</v>
      </c>
      <c r="K136" t="n">
        <v>98</v>
      </c>
      <c r="L136" t="n">
        <v>0</v>
      </c>
      <c r="M136" t="n">
        <v>0</v>
      </c>
      <c r="N136" t="n">
        <v>3</v>
      </c>
      <c r="O136" t="n">
        <v>16</v>
      </c>
    </row>
    <row r="137">
      <c r="A137" t="inlineStr">
        <is>
          <t>NEBILET</t>
        </is>
      </c>
      <c r="B137" t="inlineStr">
        <is>
          <t>TOTAL</t>
        </is>
      </c>
      <c r="C137" t="inlineStr">
        <is>
          <t>HYDROCHLOROTHIAZIDE_NEBIVOLOL | NEBIVOLOL</t>
        </is>
      </c>
      <c r="D137" t="n">
        <v>284277</v>
      </c>
      <c r="E137" t="n">
        <v>260988</v>
      </c>
      <c r="F137" t="n">
        <v>2817456</v>
      </c>
      <c r="G137" t="n">
        <v>2905870</v>
      </c>
      <c r="H137" t="n">
        <v>89009</v>
      </c>
      <c r="I137" t="n">
        <v>84869</v>
      </c>
      <c r="J137" t="n">
        <v>910007</v>
      </c>
      <c r="K137" t="n">
        <v>971015</v>
      </c>
      <c r="L137" t="n">
        <v>22809</v>
      </c>
      <c r="M137" t="n">
        <v>21222</v>
      </c>
      <c r="N137" t="n">
        <v>237377</v>
      </c>
      <c r="O137" t="n">
        <v>254367</v>
      </c>
    </row>
    <row r="138">
      <c r="A138" t="inlineStr">
        <is>
          <t>NEBILET</t>
        </is>
      </c>
      <c r="B138" t="inlineStr">
        <is>
          <t>ETICO</t>
        </is>
      </c>
      <c r="C138" t="inlineStr">
        <is>
          <t>HYDROCHLOROTHIAZIDE_NEBIVOLOL | NEBIVOLOL</t>
        </is>
      </c>
      <c r="D138" t="n">
        <v>284277</v>
      </c>
      <c r="E138" t="n">
        <v>260988</v>
      </c>
      <c r="F138" t="n">
        <v>2817456</v>
      </c>
      <c r="G138" t="n">
        <v>2905870</v>
      </c>
      <c r="H138" t="n">
        <v>89009</v>
      </c>
      <c r="I138" t="n">
        <v>84869</v>
      </c>
      <c r="J138" t="n">
        <v>910007</v>
      </c>
      <c r="K138" t="n">
        <v>971015</v>
      </c>
      <c r="L138" t="n">
        <v>22809</v>
      </c>
      <c r="M138" t="n">
        <v>21222</v>
      </c>
      <c r="N138" t="n">
        <v>237377</v>
      </c>
      <c r="O138" t="n">
        <v>254367</v>
      </c>
    </row>
    <row r="139">
      <c r="A139" t="inlineStr">
        <is>
          <t>NEBILET</t>
        </is>
      </c>
      <c r="B139" t="inlineStr">
        <is>
          <t>POPULAR</t>
        </is>
      </c>
      <c r="C139" t="inlineStr">
        <is>
          <t>HYDROCHLOROTHIAZIDE_NEBIVOLOL | NEBIVOLOL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EXFORGE</t>
        </is>
      </c>
      <c r="B140" t="inlineStr">
        <is>
          <t>TOTAL</t>
        </is>
      </c>
      <c r="C140" t="inlineStr">
        <is>
          <t>AMLODIPINE_HYDROCHLOROTHIAZIDE_VALSARTAN | AMLODIPINE_VALSARTAN</t>
        </is>
      </c>
      <c r="D140" t="n">
        <v>305211</v>
      </c>
      <c r="E140" t="n">
        <v>302220</v>
      </c>
      <c r="F140" t="n">
        <v>2573392</v>
      </c>
      <c r="G140" t="n">
        <v>3067033</v>
      </c>
      <c r="H140" t="n">
        <v>97488</v>
      </c>
      <c r="I140" t="n">
        <v>94996</v>
      </c>
      <c r="J140" t="n">
        <v>878001</v>
      </c>
      <c r="K140" t="n">
        <v>1050850</v>
      </c>
      <c r="L140" t="n">
        <v>25430</v>
      </c>
      <c r="M140" t="n">
        <v>25820</v>
      </c>
      <c r="N140" t="n">
        <v>237160</v>
      </c>
      <c r="O140" t="n">
        <v>276477</v>
      </c>
    </row>
    <row r="141">
      <c r="A141" t="inlineStr">
        <is>
          <t>EXFORGE</t>
        </is>
      </c>
      <c r="B141" t="inlineStr">
        <is>
          <t>ETICO</t>
        </is>
      </c>
      <c r="C141" t="inlineStr">
        <is>
          <t>AMLODIPINE_HYDROCHLOROTHIAZIDE_VALSARTAN | AMLODIPINE_VALSARTAN</t>
        </is>
      </c>
      <c r="D141" t="n">
        <v>305211</v>
      </c>
      <c r="E141" t="n">
        <v>302220</v>
      </c>
      <c r="F141" t="n">
        <v>2573392</v>
      </c>
      <c r="G141" t="n">
        <v>3067033</v>
      </c>
      <c r="H141" t="n">
        <v>97488</v>
      </c>
      <c r="I141" t="n">
        <v>94996</v>
      </c>
      <c r="J141" t="n">
        <v>878001</v>
      </c>
      <c r="K141" t="n">
        <v>1050850</v>
      </c>
      <c r="L141" t="n">
        <v>25430</v>
      </c>
      <c r="M141" t="n">
        <v>25820</v>
      </c>
      <c r="N141" t="n">
        <v>237160</v>
      </c>
      <c r="O141" t="n">
        <v>276477</v>
      </c>
    </row>
    <row r="142">
      <c r="A142" t="inlineStr">
        <is>
          <t>EXFORGE</t>
        </is>
      </c>
      <c r="B142" t="inlineStr">
        <is>
          <t>POPULAR</t>
        </is>
      </c>
      <c r="C142" t="inlineStr">
        <is>
          <t>AMLODIPINE_HYDROCHLOROTHIAZIDE_VALSARTAN | AMLODIPINE_VALSARTAN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ISIS NAT</t>
        </is>
      </c>
      <c r="B143" t="inlineStr">
        <is>
          <t>TOTAL</t>
        </is>
      </c>
      <c r="C143" t="inlineStr">
        <is>
          <t>DROSPIRENONE_ESTETROL</t>
        </is>
      </c>
      <c r="D143" t="n">
        <v>0</v>
      </c>
      <c r="E143" t="n">
        <v>2265</v>
      </c>
      <c r="F143" t="n">
        <v>29768</v>
      </c>
      <c r="G143" t="n">
        <v>179804</v>
      </c>
      <c r="H143" t="n">
        <v>0</v>
      </c>
      <c r="I143" t="n">
        <v>2265</v>
      </c>
      <c r="J143" t="n">
        <v>24312</v>
      </c>
      <c r="K143" t="n">
        <v>73683</v>
      </c>
      <c r="L143" t="n">
        <v>0</v>
      </c>
      <c r="M143" t="n">
        <v>906</v>
      </c>
      <c r="N143" t="n">
        <v>7992</v>
      </c>
      <c r="O143" t="n">
        <v>19798</v>
      </c>
    </row>
    <row r="144">
      <c r="A144" t="inlineStr">
        <is>
          <t>ISIS NAT</t>
        </is>
      </c>
      <c r="B144" t="inlineStr">
        <is>
          <t>ETICO</t>
        </is>
      </c>
      <c r="C144" t="inlineStr">
        <is>
          <t>DROSPIRENONE_ESTETROL</t>
        </is>
      </c>
      <c r="D144" t="n">
        <v>0</v>
      </c>
      <c r="E144" t="n">
        <v>2265</v>
      </c>
      <c r="F144" t="n">
        <v>29768</v>
      </c>
      <c r="G144" t="n">
        <v>179804</v>
      </c>
      <c r="H144" t="n">
        <v>0</v>
      </c>
      <c r="I144" t="n">
        <v>2265</v>
      </c>
      <c r="J144" t="n">
        <v>24312</v>
      </c>
      <c r="K144" t="n">
        <v>73683</v>
      </c>
      <c r="L144" t="n">
        <v>0</v>
      </c>
      <c r="M144" t="n">
        <v>906</v>
      </c>
      <c r="N144" t="n">
        <v>7992</v>
      </c>
      <c r="O144" t="n">
        <v>19798</v>
      </c>
    </row>
    <row r="145">
      <c r="A145" t="inlineStr">
        <is>
          <t>ISIS NAT</t>
        </is>
      </c>
      <c r="B145" t="inlineStr">
        <is>
          <t>POPULAR</t>
        </is>
      </c>
      <c r="C145" t="inlineStr">
        <is>
          <t>DROSPIRENONE_ESTETROL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GYNODERM</t>
        </is>
      </c>
      <c r="B146" t="inlineStr">
        <is>
          <t>TOTAL</t>
        </is>
      </c>
      <c r="C146" t="inlineStr">
        <is>
          <t>ALOE BARBADENSIS_COLLAGEN_HYALURONIC ACID | DL-LACTIC ACID | DL-LACTIC ACID_HYALURONIC ACID</t>
        </is>
      </c>
      <c r="D146" t="n">
        <v>8984</v>
      </c>
      <c r="E146" t="n">
        <v>5950</v>
      </c>
      <c r="F146" t="n">
        <v>156351</v>
      </c>
      <c r="G146" t="n">
        <v>66040</v>
      </c>
      <c r="H146" t="n">
        <v>651</v>
      </c>
      <c r="I146" t="n">
        <v>1862</v>
      </c>
      <c r="J146" t="n">
        <v>49627</v>
      </c>
      <c r="K146" t="n">
        <v>20571</v>
      </c>
      <c r="L146" t="n">
        <v>283</v>
      </c>
      <c r="M146" t="n">
        <v>462</v>
      </c>
      <c r="N146" t="n">
        <v>8041</v>
      </c>
      <c r="O146" t="n">
        <v>5459</v>
      </c>
    </row>
    <row r="147">
      <c r="A147" t="inlineStr">
        <is>
          <t>GYNODERM</t>
        </is>
      </c>
      <c r="B147" t="inlineStr">
        <is>
          <t>ETICO</t>
        </is>
      </c>
      <c r="C147" t="inlineStr">
        <is>
          <t>ALOE BARBADENSIS_COLLAGEN_HYALURONIC ACID | DL-LACTIC ACID | DL-LACTIC ACID_HYALURONIC ACID</t>
        </is>
      </c>
      <c r="D147" t="n">
        <v>0</v>
      </c>
      <c r="E147" t="n">
        <v>0</v>
      </c>
      <c r="F147" t="n">
        <v>60390</v>
      </c>
      <c r="G147" t="n">
        <v>64222</v>
      </c>
      <c r="H147" t="n">
        <v>0</v>
      </c>
      <c r="I147" t="n">
        <v>0</v>
      </c>
      <c r="J147" t="n">
        <v>19853</v>
      </c>
      <c r="K147" t="n">
        <v>20273</v>
      </c>
      <c r="L147" t="n">
        <v>0</v>
      </c>
      <c r="M147" t="n">
        <v>0</v>
      </c>
      <c r="N147" t="n">
        <v>5385</v>
      </c>
      <c r="O147" t="n">
        <v>5318</v>
      </c>
    </row>
    <row r="148">
      <c r="A148" t="inlineStr">
        <is>
          <t>GYNODERM</t>
        </is>
      </c>
      <c r="B148" t="inlineStr">
        <is>
          <t>POPULAR</t>
        </is>
      </c>
      <c r="C148" t="inlineStr">
        <is>
          <t>ALOE BARBADENSIS_COLLAGEN_HYALURONIC ACID | DL-LACTIC ACID | DL-LACTIC ACID_HYALURONIC ACID</t>
        </is>
      </c>
      <c r="D148" t="n">
        <v>8984</v>
      </c>
      <c r="E148" t="n">
        <v>5950</v>
      </c>
      <c r="F148" t="n">
        <v>95961</v>
      </c>
      <c r="G148" t="n">
        <v>1818</v>
      </c>
      <c r="H148" t="n">
        <v>651</v>
      </c>
      <c r="I148" t="n">
        <v>1862</v>
      </c>
      <c r="J148" t="n">
        <v>29774</v>
      </c>
      <c r="K148" t="n">
        <v>298</v>
      </c>
      <c r="L148" t="n">
        <v>283</v>
      </c>
      <c r="M148" t="n">
        <v>462</v>
      </c>
      <c r="N148" t="n">
        <v>2656</v>
      </c>
      <c r="O14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Definiciones</t>
        </is>
      </c>
    </row>
    <row r="2">
      <c r="A2" t="inlineStr"/>
    </row>
    <row r="3">
      <c r="A3" t="inlineStr">
        <is>
          <t>Segmento (B2)</t>
        </is>
      </c>
      <c r="B3" t="inlineStr">
        <is>
          <t>TOTAL = Ético + Popular | ETICO | POPULAR</t>
        </is>
      </c>
    </row>
    <row r="4">
      <c r="A4" t="inlineStr">
        <is>
          <t>MAT</t>
        </is>
      </c>
      <c r="B4" t="inlineStr">
        <is>
          <t>Apr 2026 vs Apr 2025 (MAT mensual)</t>
        </is>
      </c>
    </row>
    <row r="5">
      <c r="A5" t="inlineStr">
        <is>
          <t>YTD</t>
        </is>
      </c>
      <c r="B5" t="inlineStr">
        <is>
          <t>Ene-Abr 2026 vs Ene-Abr 2025</t>
        </is>
      </c>
    </row>
    <row r="6">
      <c r="A6" t="inlineStr">
        <is>
          <t>MES</t>
        </is>
      </c>
      <c r="B6" t="inlineStr">
        <is>
          <t>Abr 2026 vs Abr 2025 (mes actual vs mismo mes año anterior)</t>
        </is>
      </c>
    </row>
    <row r="7">
      <c r="A7" t="inlineStr">
        <is>
          <t>Mercado</t>
        </is>
      </c>
      <c r="B7" t="inlineStr">
        <is>
          <t>Productos con la misma molécula de la marca, de manufacturers ≠ SIEGFRIED, filtrados por segmento</t>
        </is>
      </c>
    </row>
    <row r="8">
      <c r="A8" t="inlineStr">
        <is>
          <t>MS%</t>
        </is>
      </c>
      <c r="B8" t="inlineStr">
        <is>
          <t>Unidades de la marca / (marca + mercado)</t>
        </is>
      </c>
    </row>
    <row r="9">
      <c r="A9" t="inlineStr">
        <is>
          <t>IE</t>
        </is>
      </c>
      <c r="B9" t="inlineStr">
        <is>
          <t>((Marca Act / Marca Ant) / (Mercado total Act / Mercado total Ant)) × 100. &gt;100 gana share; &lt;100 pierde share</t>
        </is>
      </c>
    </row>
    <row r="10">
      <c r="A10" t="inlineStr">
        <is>
          <t>Var pp</t>
        </is>
      </c>
      <c r="B10" t="inlineStr">
        <is>
          <t>MS% Act − MS% 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2026-05-22T22:45:07Z</dcterms:created>
  <dcterms:modified xmlns:dcterms="http://purl.org/dc/terms/" xmlns:xsi="http://www.w3.org/2001/XMLSchema-instance" xsi:type="dcterms:W3CDTF">2026-05-22T22:45:07Z</dcterms:modified>
</cp:coreProperties>
</file>